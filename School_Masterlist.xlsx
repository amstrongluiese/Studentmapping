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<sst xmlns="http://schemas.openxmlformats.org/spreadsheetml/2006/main" count="4633" uniqueCount="3298">
  <si>
    <t>School Name</t>
  </si>
  <si>
    <t>Address</t>
  </si>
  <si>
    <t>School Type</t>
  </si>
  <si>
    <t>Latitude</t>
  </si>
  <si>
    <t>Longitude</t>
  </si>
  <si>
    <t>Google Location</t>
  </si>
  <si>
    <t>Municipality &amp; Province</t>
  </si>
  <si>
    <t>(S.J.B.) SAINT JOHN BOSCO, I.A.S., INC.</t>
  </si>
  <si>
    <t>Alirey Bldg., Along Baytown Road</t>
  </si>
  <si>
    <t>Grade 11-12</t>
  </si>
  <si>
    <t>G4MW+6WF, Baytown, Angono, Rizal, Philippines</t>
  </si>
  <si>
    <t>A1.W.M. Learning Academy Inc.</t>
  </si>
  <si>
    <t>Governor's Drive, Brgy. Manggahan, Gen. Trias, Cavite</t>
  </si>
  <si>
    <t>Grade 7-10 &amp; Grade 11-12</t>
  </si>
  <si>
    <t>7WV5+2PH, Juanito R. Remulla Senior Rd, General Trias, 4107 Cavite, Philippines</t>
  </si>
  <si>
    <t>ABE INTERNATIONAL BUSINESS COLLEGE QUEZON PROVINCE INC.</t>
  </si>
  <si>
    <t>233 Quezon Avenue, Brgy. 9</t>
  </si>
  <si>
    <t>WJJ7+R4J, Quezon Ave, Lucena City, 4301 Quezon, Philippines</t>
  </si>
  <si>
    <t>ABE International Business College-Cainta Rizal, Inc.</t>
  </si>
  <si>
    <t>Carms Bldg. cor V.V Soliven St. Cainta Rizal</t>
  </si>
  <si>
    <t>Carms Bldg, V.V. Soliven Cor Felix Ave, Cainta Rizal, 1900 Rizal, Philippines</t>
  </si>
  <si>
    <t>ABE International Business College-Quezon Province</t>
  </si>
  <si>
    <t>Rockwell Building Quezon Avenue, Lucena City</t>
  </si>
  <si>
    <t>Abeniano Delos Santos Academy, Inc.</t>
  </si>
  <si>
    <t>Ibayo Silangan, Naic, Cavite</t>
  </si>
  <si>
    <t>Kinder, Grade 1-6, Grade 7-10 &amp; Grade 11-12</t>
  </si>
  <si>
    <t>8Q99+PFR, Naic, Cavite, Philippines</t>
  </si>
  <si>
    <t>Abuyod National High School</t>
  </si>
  <si>
    <t>Sitio Abuyod</t>
  </si>
  <si>
    <t>H6MH+M9Q, Dalig, Teresa, Rizal, Philippines</t>
  </si>
  <si>
    <t>Abuyon NHS</t>
  </si>
  <si>
    <t>Abuyon</t>
  </si>
  <si>
    <t>Abuyon, San Narciso, Quezon, Philippines</t>
  </si>
  <si>
    <t>Acacia School Foundation, Inc</t>
  </si>
  <si>
    <t>Hacienda Sta Elena</t>
  </si>
  <si>
    <t>63RC+9QM, City of Santa Rosa, Laguna, Philippines</t>
  </si>
  <si>
    <t>Acacia School Foundation, Inc.</t>
  </si>
  <si>
    <t>Hacienda Sta. Elena Brgy. Don Jose, Sta. Rosa City</t>
  </si>
  <si>
    <t>Hacienda Sta. Elena, City of Santa Rosa, Laguna, Philippines</t>
  </si>
  <si>
    <t>ACADEMIA DE LIPA CITY INC</t>
  </si>
  <si>
    <t>SAN SEBASTIAN LIPA CITY</t>
  </si>
  <si>
    <t>Brgy, MK Lina St, San Sebastian (Balagbag), Lipa City, 4217 Batangas, Philippines</t>
  </si>
  <si>
    <t>Academia De Mayuga Inc.</t>
  </si>
  <si>
    <t>Leviste, Laurel, Batangas</t>
  </si>
  <si>
    <t>3XC2+QXM, Laurel, Batangas, Philippines</t>
  </si>
  <si>
    <t>Academia De San Francisco Javier</t>
  </si>
  <si>
    <t>Ruiz Martinez</t>
  </si>
  <si>
    <t>Philippines</t>
  </si>
  <si>
    <t>Academia De San Francisco Javier Batangas Inc.</t>
  </si>
  <si>
    <t>3J8Q+QC4, R Martinez St, Nasugbu, Batangas, Philippines</t>
  </si>
  <si>
    <t>Academia de San Ignacio de Loyola</t>
  </si>
  <si>
    <t>Schetelig Avenue</t>
  </si>
  <si>
    <t>38CJ+MPR, Werner Schetelig Ave, San Pablo City, 4000 Laguna, Philippines</t>
  </si>
  <si>
    <t>Academia de San Vicente Ferrer-Cavite Inc.</t>
  </si>
  <si>
    <t>82 Lumampong Halayhay</t>
  </si>
  <si>
    <t>Lumampong Halayhay, Indang, Cavite, Philippines</t>
  </si>
  <si>
    <t>Academy for Christian Education, Inc.</t>
  </si>
  <si>
    <t>B4 L25 Queen's Main Blvd.</t>
  </si>
  <si>
    <t>Academy of Saint John - La Salle Green Hills Supervised</t>
  </si>
  <si>
    <t>Sta. Clara Subdivision, General Trias, Cavite</t>
  </si>
  <si>
    <t>9VJJ+RJV, Barangay Sta. Clara, General Trias, Cavite, Philippines</t>
  </si>
  <si>
    <t>Aceba Science &amp; Tech. Institute (ASTI) Inc.</t>
  </si>
  <si>
    <t>De Vera St., Barangay Daungan, Mauban, Quezon</t>
  </si>
  <si>
    <t>1575 Gardiner St, Mauban, Quezon, Philippines</t>
  </si>
  <si>
    <t>ACEBA Science and Technology Institute (ASTI) Inc.</t>
  </si>
  <si>
    <t>26 Legaspi St.</t>
  </si>
  <si>
    <t>2HGR+JR2, Legaspi Street, City of Tayabas, 4327 Quezon, Philippines</t>
  </si>
  <si>
    <t>ACEBA SCIENCE AND TECHNOLOGY INSTITUTE INC.</t>
  </si>
  <si>
    <t>De Gracia cor. Mabini St.,</t>
  </si>
  <si>
    <t>ACEBA SCIENCE AND TECHNOLOGY INSTITUTE, INC.</t>
  </si>
  <si>
    <t>M. L. Eleazar St.,</t>
  </si>
  <si>
    <t>ACEBA Systems Technology Institute Inc.</t>
  </si>
  <si>
    <t>FABEMAR Bldg.22 M.L. St cor Castro St.</t>
  </si>
  <si>
    <t>ACLC College of San Pablo</t>
  </si>
  <si>
    <t>Lynderson Bldg. II, Barleta St., San Pablo City, Laguna</t>
  </si>
  <si>
    <t>38CG+FPR, Inocencio Barleta St, San Pablo City, 4000 Laguna, Philippines</t>
  </si>
  <si>
    <t>ACLC College of Taytay</t>
  </si>
  <si>
    <t>7 El Monteverde Subd. San Juan, Taytay, Rizal</t>
  </si>
  <si>
    <t>El Monteverde Subd, 7 Manila E Rd, Taytay, 1920 Rizal, Philippines</t>
  </si>
  <si>
    <t>ACTS Computer College</t>
  </si>
  <si>
    <t>P. Guevara Ave., cor A. Bonifacio St., Sta. Cruz, Laguna</t>
  </si>
  <si>
    <t>EGK. Building Corner A. Bonifacio Street, 4009 Pedro Guevara Ave, Street, Santa Cruz, 4009 Laguna, Philippines</t>
  </si>
  <si>
    <t>ACTS Computer College-Infanta, Inc.</t>
  </si>
  <si>
    <t>Gen. Luna St., Poblacion 39, Infanta, Quezon</t>
  </si>
  <si>
    <t>Larita Building, Gen. Luna St, Infanta, 4336 Quezon, Philippines</t>
  </si>
  <si>
    <t>ACTS Computer College-Sta. Cruz</t>
  </si>
  <si>
    <t>P. Guevara Avenue Corner A. Bonifacio Street, Sta. Cruz, Laguna</t>
  </si>
  <si>
    <t>Adelaido A. Bayot Memorial School, Inc.</t>
  </si>
  <si>
    <t>J.P. Laurel St. Nasugbu, Batangas</t>
  </si>
  <si>
    <t>3J8M+Q5M, J P Laurel St, Nasugbu, Batangas, Philippines</t>
  </si>
  <si>
    <t>Advance Treasure College System, Inc.</t>
  </si>
  <si>
    <t>Blk 4 Lot 21 Phase 3 Mary Homes Subd.</t>
  </si>
  <si>
    <t>Adventist International Institute of Advanced Studies</t>
  </si>
  <si>
    <t>Km 45.5 Aguinaldo Highway, Lalaan I, Silang, Cavite</t>
  </si>
  <si>
    <t>Km 45.5 Emilio Aguinaldo Hwy, Lalaan 1, 4118, Silang, Cavite, Philippines</t>
  </si>
  <si>
    <t>Adventist University of the Philippines</t>
  </si>
  <si>
    <t>Puting Kahoy, Silang, Cavite</t>
  </si>
  <si>
    <t>629P+QR2, Silang, Cavite, Philippines</t>
  </si>
  <si>
    <t>Adventist University of the Philippines of Seventh-Day Adventists, Inc.</t>
  </si>
  <si>
    <t>Affordable Private Education Center Inc.</t>
  </si>
  <si>
    <t>Verde Oro East Plaza Bldg., Manila East Rd.</t>
  </si>
  <si>
    <t>H47Q+3FC, Manila E Rd, Taytay, 1920 Rizal, Philippines</t>
  </si>
  <si>
    <t>Affordable Private Education Center, Inc APEC Schools- Bacoor</t>
  </si>
  <si>
    <t>Marcos Alavarez Ave corner Latero</t>
  </si>
  <si>
    <t>Room 507, PASDA Bldg 9 G. Araneta, Cor P Florentino, Sto. Domingo, Quezon City, 1114 Metro Manila, Philippines</t>
  </si>
  <si>
    <t>AFFORDABLE PRIVATE EDUCATION CENTER, INC. APEC SCHOOLS - DASMARIÃ‘AS</t>
  </si>
  <si>
    <t>3175 Aguinaldo Ave., Salitran, DasmariÃ±as City, Cavite</t>
  </si>
  <si>
    <t>Salitran, Dasmariñas, Cavite, Philippines</t>
  </si>
  <si>
    <t>Agnus Dei Schools System, Inc.</t>
  </si>
  <si>
    <t>280 Quezon Street</t>
  </si>
  <si>
    <t>280 Manuel L Quezon St, Angeles, Pampanga, Philippines</t>
  </si>
  <si>
    <t>Agoncillo Colleges, Inc.</t>
  </si>
  <si>
    <t>R. Mendoza St.</t>
  </si>
  <si>
    <t>Mendoza St, San Roque, San Pedro, Laguna, Philippines</t>
  </si>
  <si>
    <t>Agoncillo Senior High School</t>
  </si>
  <si>
    <t>Pamiga, Agoncillo, Batangas</t>
  </si>
  <si>
    <t>WWMG+MMG, Agoncillo, Batangas, Philippines</t>
  </si>
  <si>
    <t>Agustinian School of Cabuyao</t>
  </si>
  <si>
    <t>65 Banay-Banay, City of Cabuyao, Laguna</t>
  </si>
  <si>
    <t>65, Banaybanay, Cabuyao City, Laguna, Philippines</t>
  </si>
  <si>
    <t>Agustinian School of Cabuyao, Inc.</t>
  </si>
  <si>
    <t>AITECH (Antipolo City Institute of Technology)</t>
  </si>
  <si>
    <t>Marcos Highway, Sitio Cabading</t>
  </si>
  <si>
    <t>J6HG+P37 Sitio Cabading, Lansangang Marikina-Infanta, Antipolo, 1870 Lalawigan ng Rizal, Philippines</t>
  </si>
  <si>
    <t>Ajos National High School</t>
  </si>
  <si>
    <t>Sto. NiÃ±o</t>
  </si>
  <si>
    <t>G9X8+FHQ, National Highway, Mulanay, 4312 Quezon, Philippines</t>
  </si>
  <si>
    <t>Alabat Island National High School</t>
  </si>
  <si>
    <t>Camagong</t>
  </si>
  <si>
    <t>4238+2MF, Alabat, Quezon, Philippines</t>
  </si>
  <si>
    <t>Alaminos Integrated National High School</t>
  </si>
  <si>
    <t>D. Fandino St., Brgy. Poblacion 2, Alaminos, Laguna</t>
  </si>
  <si>
    <t>baragangay poblacion 2, 367V+JQX, D Fandino, Alaminos, Laguna, Philippines</t>
  </si>
  <si>
    <t>Alangilan Senior High School</t>
  </si>
  <si>
    <t>BCWD ST.Alangilan</t>
  </si>
  <si>
    <t>Q3Q9+577, Batangas City, Batangas, Philippines</t>
  </si>
  <si>
    <t>Alejandro P. Libao National High School</t>
  </si>
  <si>
    <t>Tagbacan Ilaya</t>
  </si>
  <si>
    <t>J8JW+JH3, Catanauan, Quezon, Philippines</t>
  </si>
  <si>
    <t>Alexandria Computer School &amp; Technology Foundation</t>
  </si>
  <si>
    <t>Javea Park Subd.</t>
  </si>
  <si>
    <t>Alexandria Computer School And Technology Foundation</t>
  </si>
  <si>
    <t>Javea Park Subd. Sta Cecilia</t>
  </si>
  <si>
    <t>Alfonso Integrated High School</t>
  </si>
  <si>
    <t>Montenegro St.</t>
  </si>
  <si>
    <t>Montenegro St, Timalan Balsahan, Naic, Cavite, Philippines</t>
  </si>
  <si>
    <t>Alitagtag College, Inc. (High School Department Pinagkurusan Branch)</t>
  </si>
  <si>
    <t>Pinagkurusan, Alitagtag, Batangas</t>
  </si>
  <si>
    <t>V284+C32, Alitagtag, Batangas, Philippines</t>
  </si>
  <si>
    <t>Alitagtag Senior High School</t>
  </si>
  <si>
    <t>Poblacion East, Alitagtag, Batangas</t>
  </si>
  <si>
    <t>V274+4VP, Alitagtag, Batangas, Philippines</t>
  </si>
  <si>
    <t>Almond Academy Foundation, Inc.</t>
  </si>
  <si>
    <t>San Fernando</t>
  </si>
  <si>
    <t>San Fernando, Pampanga, Philippines</t>
  </si>
  <si>
    <t>Aloneros NHS (Formerly LBS of Fisheries Ext. - Aloneros</t>
  </si>
  <si>
    <t>Aloneros</t>
  </si>
  <si>
    <t>Aloneros, Guinayangan, Quezon, Philippines</t>
  </si>
  <si>
    <t>Alpha Angelicum Academy, Incorporated</t>
  </si>
  <si>
    <t>Westpoint Street</t>
  </si>
  <si>
    <t>Westpoint, San Antonio, Biñan, Laguna, Philippines</t>
  </si>
  <si>
    <t>Alpha Beth Christian Academy, Inc.</t>
  </si>
  <si>
    <t>Market Site</t>
  </si>
  <si>
    <t>ABCAI Market Site, 068 Lotus Ville, Sampaloc, Tanay, 1980 Rizal, Philippines</t>
  </si>
  <si>
    <t>Alpha Centauri Educational System, Inc.</t>
  </si>
  <si>
    <t>K18 Diversion Road</t>
  </si>
  <si>
    <t>K-18 Diversion Road, Ilayang Dupay, Lucena City, 4301 Quezon, Philippines</t>
  </si>
  <si>
    <t>Alupay Integrated National High School</t>
  </si>
  <si>
    <t>Alupay, Rosario, Batangas</t>
  </si>
  <si>
    <t>R7WV+98X, Rosario, Batangas, Philippines</t>
  </si>
  <si>
    <t>AMA COLLEGE-CAVITE</t>
  </si>
  <si>
    <t>AMA University Town -ARA Vista Subd</t>
  </si>
  <si>
    <t>Brgy, ARA Vista Village, Biclatan, General Trias, 4107 Cavite, Philippines</t>
  </si>
  <si>
    <t>AMA Computer College East Rizal</t>
  </si>
  <si>
    <t>AMA Building, Marcos Highway</t>
  </si>
  <si>
    <t>AMA Bulding, Marcos Hwy, Antipolo, 1870 Rizal, Philippines</t>
  </si>
  <si>
    <t>AMA Computer College East Rizal Branch</t>
  </si>
  <si>
    <t>AMAES Building, Marcos Highway</t>
  </si>
  <si>
    <t>Rizal, Philippines</t>
  </si>
  <si>
    <t>AMA Computer College Inc. - BiÃ±an Branch</t>
  </si>
  <si>
    <t>Km 32 National Highway Canlalay, Binan Laguna</t>
  </si>
  <si>
    <t>83PH+744, Km 32 National Highway, Canlalay, Biñan, 4024 Laguna, Philippines</t>
  </si>
  <si>
    <t>AMA Computer College-Biñan</t>
  </si>
  <si>
    <t>Km. 32, National Highway, Canlalay, Biñan City, Laguna</t>
  </si>
  <si>
    <t>AMA Computer University, Kilometer 32, National Highway, Canlalay, Biñan, Laguna, Biñan, Laguna, Philippines</t>
  </si>
  <si>
    <t>AMA Computer College-Calamba</t>
  </si>
  <si>
    <t>Perez Commerical Building, National Highway, Brgy. Parian, Calamba, Laguna</t>
  </si>
  <si>
    <t>Calamba Doctors' Hospital, 49 San Cristobal Bridge, Parian, Calamba, 4027 Laguna, Philippines</t>
  </si>
  <si>
    <t>AMA Computer College-DasmariÃ±as, Cavite</t>
  </si>
  <si>
    <t>Governor's Tower 1, Governor's Drive Langkaan 1, Dasmarinas, Cavite</t>
  </si>
  <si>
    <t>1 Governor's Dr, Trece Martires City, Cavite, Philippines</t>
  </si>
  <si>
    <t>AMA Computer College-Lipa City</t>
  </si>
  <si>
    <t>Ayala Hi-way, Balintawak, Lipa City, Batangas</t>
  </si>
  <si>
    <t>AMA Building, Ayala Hwy, Lipa City, Batangas, Philippines</t>
  </si>
  <si>
    <t>AMA Computer College-Lucena City</t>
  </si>
  <si>
    <t>Tantuco Bldg., #160 M.L. Tagarao St. Iyam Lucena City, Quezon</t>
  </si>
  <si>
    <t>WJM3+QCG, M. L. Tagarao Street, Lucena City, 4301 Quezon, Philippines</t>
  </si>
  <si>
    <t>AMA Computer College-Sta. Cruz,Laguna</t>
  </si>
  <si>
    <t>Ng Cha Bldg. P. Guevara Ave., Sta. Cruz Laguna</t>
  </si>
  <si>
    <t>4009 Pedro Guevara Ave, Street, Santa Cruz, 4009 Laguna, Philippines</t>
  </si>
  <si>
    <t>AMA Computer College-Sta.Cruz</t>
  </si>
  <si>
    <t>P Guevarra Ave, Sta. Cruz, Laguna</t>
  </si>
  <si>
    <t>AMA Computer Learning Center College of San Pablo City</t>
  </si>
  <si>
    <t>Lynderson II Bldg. Brgy IV-B, Barleta St. San Pablo City</t>
  </si>
  <si>
    <t>Barangay IV-B, San Pablo City, Laguna, Philippines</t>
  </si>
  <si>
    <t>AMA Computer Learning Center of Antipolo Inc.</t>
  </si>
  <si>
    <t>4F FBM Building, ML Quezon Street</t>
  </si>
  <si>
    <t>FBM Building, 4 M.L. Quezon Street, Antipolo, 1870 Rizal, Philippines</t>
  </si>
  <si>
    <t>AMA Computer Learning Center of Bacoor, Inc.</t>
  </si>
  <si>
    <t>3F Bacoor Business Center Bldg., Brgy. Salinas 4 Aguinaldo Highway,  Bacoor City, Cavite</t>
  </si>
  <si>
    <t>3rd Floor, Bacoor Business Center, Emilio Aguinaldo Hwy, Bacoor, 4102 Cavite, Philippines</t>
  </si>
  <si>
    <t>AMA Computer Learning Center of Batangas City</t>
  </si>
  <si>
    <t>CASA Buena Bldg., P. Burgos St., Batangas City</t>
  </si>
  <si>
    <t>Q374+3PV, Poblacion, Batangas City, 4200 Batangas, Philippines</t>
  </si>
  <si>
    <t>AMA Computer Learning Center of DasmariÃ±as, Cavite</t>
  </si>
  <si>
    <t>B3 L4 Hernandez Bldg., Pasong Tala Bldg., Zone IV, Aguinaldo Highway, DasmariÃ±as, Cavite</t>
  </si>
  <si>
    <t>Zone IV, Dasmariñas, Cavite, Philippines</t>
  </si>
  <si>
    <t>AMA Computer Learning Center of Sta. Cruz</t>
  </si>
  <si>
    <t>2F E.M Bldg. P.Burgos St. Sta. Cruz Laguna</t>
  </si>
  <si>
    <t>Padre Jose Ma. Burgos St, San Pablo City, Laguna, Philippines</t>
  </si>
  <si>
    <t>AMA Computer Learning College of San Pedro</t>
  </si>
  <si>
    <t>33-A Mabini St., San Pedro, Laguna</t>
  </si>
  <si>
    <t>9374+X6C, San Antonio, San Pedro, Laguna, Philippines</t>
  </si>
  <si>
    <t>Amadeo Integrated School</t>
  </si>
  <si>
    <t>Crisanto M. delos Reyes Ave. (Bypass Road)</t>
  </si>
  <si>
    <t>Crisanto M. De Los Reyes Ave, Amadeo, Cavite, Philippines</t>
  </si>
  <si>
    <t>Amaya School of Home Industries</t>
  </si>
  <si>
    <t>Soriano Hi-way</t>
  </si>
  <si>
    <t>9R9G+V6G, Bocalan Street, Tanza, Cavite, Philippines</t>
  </si>
  <si>
    <t>Amontay National High School</t>
  </si>
  <si>
    <t>Amontay</t>
  </si>
  <si>
    <t>R4H2+RH5 Amontay National High School, Gumaca - Pitogo - Mulanay - San Narciso Rd, Pitogo, Quezon, Philippines</t>
  </si>
  <si>
    <t>Amore Academy of TMC Cavite Inc.</t>
  </si>
  <si>
    <t>trece - indang road, Luciano</t>
  </si>
  <si>
    <t>7VCF+C4Q, Trece Martires - Indang Rd, Trece Martires City, Cavite, Philippines</t>
  </si>
  <si>
    <t>Amore Academy of TMC Cavite, Inc.</t>
  </si>
  <si>
    <t>none</t>
  </si>
  <si>
    <t>Ananias A. Diamante Integrated National High School (Formerly Dr. Arsenio C. Nicolas NHS - Dominlog Ext.)</t>
  </si>
  <si>
    <t>Barangay Dominlog</t>
  </si>
  <si>
    <t>Dominlog, Calauag, Quezon, Philippines</t>
  </si>
  <si>
    <t>Angeles Luistro Integrated Senior High School</t>
  </si>
  <si>
    <t>Bulsa, San Juan, Batangas</t>
  </si>
  <si>
    <t>PC62+G8V, San Juan, Batangas, Philippines</t>
  </si>
  <si>
    <t>Angelicum Primarosa Montessori School</t>
  </si>
  <si>
    <t>Primarosa Avenue, Villa de Primarosa Subd.</t>
  </si>
  <si>
    <t>ANGELITA V. DEL MUNDO FOUNDATION (AVM FOUNDATION) INC.</t>
  </si>
  <si>
    <t>Rear Entrance Vonwelt Bldg., 3521 Rizal St., Pagsanjan, Laguna</t>
  </si>
  <si>
    <t>3521 Rizal St, Brgy, Pagsanjan, Laguna, Philippines</t>
  </si>
  <si>
    <t>Angelo L. Loyola Senior High School</t>
  </si>
  <si>
    <t>Alfonso Macha St.</t>
  </si>
  <si>
    <t>72XX+3QF, Alfonso Macha St, Carmona, Cavite, Philippines</t>
  </si>
  <si>
    <t>ANGELS IN HEAVEN SCHOOL INC.</t>
  </si>
  <si>
    <t>5035 National Highway, Sala, Cabuyao City, Laguna</t>
  </si>
  <si>
    <t>29 Manila S Rd, Cabuyao City, 4025 Laguna, Philippines</t>
  </si>
  <si>
    <t>Angono National High School</t>
  </si>
  <si>
    <t>101 Aguinaldo St, Angono, 1930 Rizal, Philippines</t>
  </si>
  <si>
    <t>Angono Private High School</t>
  </si>
  <si>
    <t>DoÃ±a Aurora St.</t>
  </si>
  <si>
    <t>Sitio Hangganan, Binangonan, 1940 Rizal, Philippines</t>
  </si>
  <si>
    <t>Anihan Technical School</t>
  </si>
  <si>
    <t>294 Purok 6, Brgy. Milagrosa, Calamba City, Lagunana</t>
  </si>
  <si>
    <t>Anihan Technical School, Calamba, 4027 Laguna, Philippines</t>
  </si>
  <si>
    <t>Anilao Integrated National High School</t>
  </si>
  <si>
    <t>Anilao, Lipa City</t>
  </si>
  <si>
    <t>Anilao, Lipa City, Batangas, Philippines</t>
  </si>
  <si>
    <t>Ann Arbor Montessori Learning Center Inc.</t>
  </si>
  <si>
    <t>Town &amp; Country Southville Subdivision,</t>
  </si>
  <si>
    <t>Town &amp; Country Southville Subdivision, Blk 25 Lot 26 Montana St, Biñan, 4024 Laguna, Philippines</t>
  </si>
  <si>
    <t>Ann Marris Montessori School</t>
  </si>
  <si>
    <t># 2 Mercury St. Ph.4 Golden City</t>
  </si>
  <si>
    <t>ph.4, 2 Mercury St, Project 8, Quezon City, 1100 Metro Manila, Philippines</t>
  </si>
  <si>
    <t>Anselmo A. Sandoval Memorial National High School</t>
  </si>
  <si>
    <t>P. Balibaguhan, Mabini, Batangas</t>
  </si>
  <si>
    <t>PWVP+6X8 Anselmo A. Sandoval Memorial National High School, Pulong Balibaguhan, Mabini, 4202 Batangas, Philippines</t>
  </si>
  <si>
    <t>Antipolo City National Science and Technology HS</t>
  </si>
  <si>
    <t>Sitio Cabading</t>
  </si>
  <si>
    <t>Antipolo, Rizal, Philippines</t>
  </si>
  <si>
    <t>Antipolo City Senior HS</t>
  </si>
  <si>
    <t>Olalia Road, Upper Sto. Nino</t>
  </si>
  <si>
    <t>upper sto nino, 188 Willow St, sta Cruz, Antipolo, 1870 Rizal, Philippines</t>
  </si>
  <si>
    <t>Antipolo Immaculate Conception School</t>
  </si>
  <si>
    <t>Sumulong Street, Villa Carmen Subdivision</t>
  </si>
  <si>
    <t>Villa Carmen Subd. Road, 2 J. Sumulong Street, Antipolo, 1870 Rizal, Philippines</t>
  </si>
  <si>
    <t>Antipolo Lady of Lourdes School</t>
  </si>
  <si>
    <t>Parugan Interior National Road</t>
  </si>
  <si>
    <t>H5JP+34V, Antipolo, 1870 Rizal, Philippines</t>
  </si>
  <si>
    <t>Antonio C. Esguerra Mem. NHS</t>
  </si>
  <si>
    <t>Sampaguita</t>
  </si>
  <si>
    <t>G4Q6+6V8, Taytay, 1920 Rizal, Philippines</t>
  </si>
  <si>
    <t>Anuling Integrated High School</t>
  </si>
  <si>
    <t>Maglabe Drive</t>
  </si>
  <si>
    <t>4121 M. Dimapilis St, Mendez, Cavite, Philippines</t>
  </si>
  <si>
    <t>Apad NHS (Formerly Sto. Domingo NHS - Apad Ext. Classes)</t>
  </si>
  <si>
    <t>Apad Lutao</t>
  </si>
  <si>
    <t>Apad Lutao, Calauag, Quezon, Philippines</t>
  </si>
  <si>
    <t>APEC School</t>
  </si>
  <si>
    <t>15 Leonor St.</t>
  </si>
  <si>
    <t>15 Miguel Leonor St, San Pablo City, 4000 Laguna, Philippines</t>
  </si>
  <si>
    <t>APEC SCHOOLS</t>
  </si>
  <si>
    <t>Blk 2 Lot 17 &amp; 5574 Molino Road</t>
  </si>
  <si>
    <t>Molino Rd, Bacoor, Cavite, Philippines</t>
  </si>
  <si>
    <t>APEC Schools - Ortigas Ext.</t>
  </si>
  <si>
    <t>Paramount Plaza Building, Km 17 Ortigas Avenue Extension, Brgy. Sto. Domingo, Cainta Rizal</t>
  </si>
  <si>
    <t>Brgy Sto. Domingo,, H4Q5+684, Ortigas Ave Ext, Cainta, 1609 Rizal, Philippines</t>
  </si>
  <si>
    <t>Aplaya National High School</t>
  </si>
  <si>
    <t>Brgy, Aplaya Santa Rosa City</t>
  </si>
  <si>
    <t>Aplaya, 849C+6R2, STA. Rosa City, Laguna, Philippines</t>
  </si>
  <si>
    <t>Ark Technological Institute Education System, Inc.</t>
  </si>
  <si>
    <t>3rd Floor, J-Seven Building, Magallanes corner Granja Street</t>
  </si>
  <si>
    <t>Magallanes Cor, WJM6+CXX, Granja St, Lucena City, 4301 Quezon, Philippines</t>
  </si>
  <si>
    <t>ARMA COLLEGE OF TECHNOLOGY TRAINING AND ASSESSMENT CENTER INC.</t>
  </si>
  <si>
    <t>95 Mariwasa St. Brgy. Pipindan, Binangonan, Rizal</t>
  </si>
  <si>
    <t>26 Martinez St, Antipolo, 1870 Rizal, Philippines</t>
  </si>
  <si>
    <t>Asia Technological School of Science and Arts</t>
  </si>
  <si>
    <t>1506, National Highway, Dila, Sta. Rosa, Laguna</t>
  </si>
  <si>
    <t>1506 Dila, 74Q7+C2G, Dila, Entrance to Golden City Subdivision, City of Santa Rosa, Laguna, Philippines</t>
  </si>
  <si>
    <t>Asia Technological School of Science and Arts (ASIATECH)</t>
  </si>
  <si>
    <t>#1506 Golden City Entrance, National Hi-way, Sta. Rosa City, Laguna</t>
  </si>
  <si>
    <t>Asian Caregiving and Technology Education Centers-Bacoor, Inc.</t>
  </si>
  <si>
    <t>328 Aguinaldo Highway</t>
  </si>
  <si>
    <t>328 Emilio Aguinaldo Hwy, Bacoor, 4102 Cavite, Philippines</t>
  </si>
  <si>
    <t>ASIAN COLLEGE OF COMPUTER AND MARITIME STUDIES (ACCMS) INC.</t>
  </si>
  <si>
    <t>Fueven Bldg., DoÃ±a Carmen De Luna St.</t>
  </si>
  <si>
    <t>Asian Computer College</t>
  </si>
  <si>
    <t>Doctora St.</t>
  </si>
  <si>
    <t>Doctora St, Mayapa, Calamba, 4027 Laguna, Philippines</t>
  </si>
  <si>
    <t>Asian Institute of Computer Studies</t>
  </si>
  <si>
    <t>A. Tapia Bldg., Gov. Drive, General Mariano Alvarez, Cavite</t>
  </si>
  <si>
    <t>7XMX+7W8 Brgy, Daang Governor, San Gabriel, General Mariano Alvarez, 4117 Cavite, Philippines</t>
  </si>
  <si>
    <t>Asian Institute of Computer Studies - Bacoor City</t>
  </si>
  <si>
    <t>Ma. Salud Bldg., Km 17 General Emilio Aguinaldo Highway</t>
  </si>
  <si>
    <t>3RD FLOOR. FYNN COMMERCIAL BLDG., GEN. E, 17 Emilio Aguinaldo Hwy, Salinas, Bacoor, 4102 Cavite, Philippines</t>
  </si>
  <si>
    <t>Asian Institute of Computer Studies - Batangas</t>
  </si>
  <si>
    <t>AICS Bldg., P. Burgos cor. Alegre St., Brgy. 11, Batangas City</t>
  </si>
  <si>
    <t>Q364+FX5, P. Burgos Street, Corner Alegre Street, Barangay 11, Batangas City, 4200 Batangas, Philippines</t>
  </si>
  <si>
    <t>Asian Institute of Computer Studies - Calamba</t>
  </si>
  <si>
    <t>Provincial Road, Chinabank Bldg. Brgy. Uno, Calamba, Laguna</t>
  </si>
  <si>
    <t>Chinabank Building, Barangay 1 Crossing, Calamba, 4027 Laguna, Philippines</t>
  </si>
  <si>
    <t>Asian Institute of Computer Studies - Central Inc.,</t>
  </si>
  <si>
    <t>3F FYNN Commercial Bldg., Gen. E. Aguinaldo Highway</t>
  </si>
  <si>
    <t>Asian Institute of Computer Studies - DasmariÃ±as</t>
  </si>
  <si>
    <t>Leveriza Bldg., E. Aguinaldo Highway, DasmariÃ±as City</t>
  </si>
  <si>
    <t>Emilio Aguinaldo Hwy, Cavite, Philippines</t>
  </si>
  <si>
    <t>Asian Institute of Computer Studies - Lipa</t>
  </si>
  <si>
    <t>Gen. Luna St.</t>
  </si>
  <si>
    <t>Sabang, X538+355, Gen. Luna St, Lipa City, Batangas, Philippines</t>
  </si>
  <si>
    <t>Asian Institute of Computer Studies - Montalban</t>
  </si>
  <si>
    <t>2nd Flr., Montalban Town Center, E. Rodriguez Highway, Brgy. San Jose, Rodriguez, Montalban, Rizal</t>
  </si>
  <si>
    <t>P4HQ+QPW, Monte Brisa Subd, Rodriguez, Rizal, Philippines</t>
  </si>
  <si>
    <t>Asian Institute of Computer Studies - San Pedro</t>
  </si>
  <si>
    <t>Centro Pacita, Pacita Complex, San Pedro, Laguna</t>
  </si>
  <si>
    <t>Parking Lot, Pacita Complex, 3rd St, San Pedro, Laguna, Philippines</t>
  </si>
  <si>
    <t>Asian Institute of Computer Studies - Sta. Rosa</t>
  </si>
  <si>
    <t>Precious Bldg., Old National Highway, Brgy. Dila, Sta. Rosa, Laguna</t>
  </si>
  <si>
    <t>74V4+6V7, Manila S Rd, Balibago, City of Santa Rosa, 4026 Laguna, Philippines</t>
  </si>
  <si>
    <t>Asian Institute of Computer Studies - Tanay</t>
  </si>
  <si>
    <t>Tanay Town Center, F. T. Catapusan cor. Sampaloc Rd., Tanay, Rizal</t>
  </si>
  <si>
    <t>Tanay Town Center, FT Catapusan Road corner Sampaloc Road, Tanay, F7VR+JGW, Tanay, 1980 Rizal, Philippines</t>
  </si>
  <si>
    <t>Asian Institute of Computer Studies - Taytay</t>
  </si>
  <si>
    <t>2nd Flr., Marc Square Bldg., Brgy. San Juan, Taytay, Rizal</t>
  </si>
  <si>
    <t>H45P+P68, Rizal Ave, Taytay, 1920 Rizal, Philippines</t>
  </si>
  <si>
    <t>Asian Institute of Technology and Education</t>
  </si>
  <si>
    <t>Olinsterg Bldg., Poblacion III, Tiaong, Quezon</t>
  </si>
  <si>
    <t>X85F+HJ2, Tiaong, Quezon, Philippines</t>
  </si>
  <si>
    <t>ASIAN INSTITUTE OF TECHNOLOGY SCIENCE AND ARTS (AITSA) INC.</t>
  </si>
  <si>
    <t>2nd Fl. NH, Brgy. Sala, City of Cabuyao</t>
  </si>
  <si>
    <t>74FC+F29 Annijo Land Development &amp; Leasing Corp, National Highway, Cabuyao City, Laguna, Philippines</t>
  </si>
  <si>
    <t>ASIAN INSTITUTE OF TECHNOLOGY SCIENCES AND THE ARTS (AITSA) INC.</t>
  </si>
  <si>
    <t>2nd Floor Avelino St., Brgy. Poblacion 5</t>
  </si>
  <si>
    <t>Poblacion Barangay 5, Tanauan City, Batangas, Philippines</t>
  </si>
  <si>
    <t>Asian Institute of Technology, Sciences and Arts (AITSA)</t>
  </si>
  <si>
    <t>35 P. Burgos St., Poblacion Uno, Cabuyao City, Laguna</t>
  </si>
  <si>
    <t>74JF+3F6, P. Burgos, Publacion Uno, Cabuyao City, 4026 Laguna, Philippines</t>
  </si>
  <si>
    <t>Asian Institute of Technology, Sciences and the Arts (AITSA) Inc.</t>
  </si>
  <si>
    <t>BT Librojo Bldg. P. Burgos St., Brgy. Uno,</t>
  </si>
  <si>
    <t>RSD Building National Highway Barangay, Canlalay, Biñan, 4024 Laguna, Philippines</t>
  </si>
  <si>
    <t>Asian Institute of Technology, Sciences, and  the Arts (AITSA), Inc.</t>
  </si>
  <si>
    <t>2nd Floor JBR Bldg.,</t>
  </si>
  <si>
    <t>Asian Institute Science and Technology College-DasmariÃ±as</t>
  </si>
  <si>
    <t>AISAT Building Emilio Aguinaldo Highway, DasmariÃ±as City</t>
  </si>
  <si>
    <t>8WHQ+3W4 AISAT Building, Gen Emilio Aguinaldo Hwy, Dasmariñas, 4114 Cavite, Philippines</t>
  </si>
  <si>
    <t>Asian School of Hospitality Arts</t>
  </si>
  <si>
    <t>Hollywood Hills, Sumulong Highway</t>
  </si>
  <si>
    <t>Assumption Antipolo</t>
  </si>
  <si>
    <t>Assumption Road, Sumulong Highway</t>
  </si>
  <si>
    <t>Sumulong Hwy, Antipolo, 1870 Rizal, Philippines</t>
  </si>
  <si>
    <t>Atheneum School</t>
  </si>
  <si>
    <t>Seaview Subdivision, San Rafael II, Noveleta, Cavite</t>
  </si>
  <si>
    <t>CVMG+F9F, Ipil St, Noveleta, Cavite, Philippines</t>
  </si>
  <si>
    <t>Atimonan NCHS</t>
  </si>
  <si>
    <t>not applicable</t>
  </si>
  <si>
    <t>Atimonan, Quezon, Philippines</t>
  </si>
  <si>
    <t>Atty. Celso M. Reyes Integrated National High School (formerly Dr. Panfilo Castro NHS - Masalukot I Annex)</t>
  </si>
  <si>
    <t>Masalukot I</t>
  </si>
  <si>
    <t>WCWH+GVC, Masalukot Barangay Road, Candelaria, Quezon, Philippines</t>
  </si>
  <si>
    <t>Augustinian College</t>
  </si>
  <si>
    <t>65 Banaybanay, Cabuyao City, Laguna</t>
  </si>
  <si>
    <t>AWCI De Le Mar (Amadeo Weste Cavite Instituto de le Mar)</t>
  </si>
  <si>
    <t>B. Villanueva St. Brgy 8</t>
  </si>
  <si>
    <t>21 B. Villanueva St., Amadeo, 4119 Cavite, Philippines</t>
  </si>
  <si>
    <t>B.N. Calara Integrated National High School</t>
  </si>
  <si>
    <t>CARBERN VILLAGE ANOS, LOS BAÃ‘OS, LAGUNA</t>
  </si>
  <si>
    <t>5723+Q32, Apitong Street, Putho Tuntungin, Los Baños, Laguna, Philippines</t>
  </si>
  <si>
    <t>Bagbag National High School</t>
  </si>
  <si>
    <t>Dahlia Street</t>
  </si>
  <si>
    <t>Bagong Nayon II National High School</t>
  </si>
  <si>
    <t>Bagong Nayon II, Padilla</t>
  </si>
  <si>
    <t>Bagong Nayon, Antipolo, 1870 Rizal, Philippines</t>
  </si>
  <si>
    <t>Bagong Silang NHS</t>
  </si>
  <si>
    <t>Bagong Silang</t>
  </si>
  <si>
    <t>Barangay 176, 176, Caloocan, Metro Manila, Philippines</t>
  </si>
  <si>
    <t>Bagumbong National High School</t>
  </si>
  <si>
    <t>delos Santos St.</t>
  </si>
  <si>
    <t>M.V. Delos Santos St, Sampaloc, Manila, 1008 Metro Manila, Philippines</t>
  </si>
  <si>
    <t>Bagupaye  Integrated High School</t>
  </si>
  <si>
    <t>Bagupaye</t>
  </si>
  <si>
    <t>Bagupaye, Mulanay, Quezon, Philippines</t>
  </si>
  <si>
    <t>Balayan Senior High School</t>
  </si>
  <si>
    <t>Caloocan, Balayan, Batangas</t>
  </si>
  <si>
    <t>XP29+R96, Balayan, Batangas, Philippines</t>
  </si>
  <si>
    <t>Balesin Integrated School</t>
  </si>
  <si>
    <t>Brgy. Balesin</t>
  </si>
  <si>
    <t>Polillo, Quezon, Philippines</t>
  </si>
  <si>
    <t>Balesin IS (Formerly Polillo NHS Extension)</t>
  </si>
  <si>
    <t>Balesin</t>
  </si>
  <si>
    <t>Balesin, Polillo, Quezon, Philippines</t>
  </si>
  <si>
    <t>Balete Integrated School</t>
  </si>
  <si>
    <t>Balete</t>
  </si>
  <si>
    <t>H94H+W84, Balete, Aklan, Philippines</t>
  </si>
  <si>
    <t>Balian Community College</t>
  </si>
  <si>
    <t>4018 Pangil, Laguna</t>
  </si>
  <si>
    <t>Balian, Pangil, Laguna, Philippines</t>
  </si>
  <si>
    <t>Balian Integrated National High School</t>
  </si>
  <si>
    <t>9FVG+G2H Candelaria Street, 136 Pakil - Pangil - Mabitac Rd, Pangil, 4018 Laguna, Philippines</t>
  </si>
  <si>
    <t>Balibago Integrated High School</t>
  </si>
  <si>
    <t>Kabesang Moldes St. Balibago</t>
  </si>
  <si>
    <t>74X3+3G4, Kabesang Moldes, Balibago, Santa Rosa, 4026 Laguna, Philippines</t>
  </si>
  <si>
    <t>Bamban National High School</t>
  </si>
  <si>
    <t>Bamban</t>
  </si>
  <si>
    <t>M8HM+HHP, Bamban, San Clemente, Tarlac, Philippines</t>
  </si>
  <si>
    <t>Banaba West Integrated School</t>
  </si>
  <si>
    <t>Banaba West</t>
  </si>
  <si>
    <t>R343+7Q8, Batangas City, Batangas, Philippines</t>
  </si>
  <si>
    <t>Banahaw Institute</t>
  </si>
  <si>
    <t>J. P. Rizal</t>
  </si>
  <si>
    <t>6C2J+82J, J.P. Rizal St, Magdalena, Laguna, Philippines</t>
  </si>
  <si>
    <t>Banahaw Technological College, Inc.</t>
  </si>
  <si>
    <t>Lucban, Quezon</t>
  </si>
  <si>
    <t>Brgy. Manasa, 3HCF+M3C, Lucban - Tayabas Rd, Lucban, 4328 Quezon, Philippines</t>
  </si>
  <si>
    <t>Banahaw View Academy, Inc.</t>
  </si>
  <si>
    <t>Barangay Tinamnan, 4H53+GJW, Lucban, 4328 Quezon, Philippines</t>
  </si>
  <si>
    <t>Banca-Banca Integrated National High School</t>
  </si>
  <si>
    <t>Purok 3</t>
  </si>
  <si>
    <t>Banca-banca, Victoria, Laguna, Philippines</t>
  </si>
  <si>
    <t>BANNISTER ACADEMY CORP.</t>
  </si>
  <si>
    <t>Brgy. Lot 8 Eastland Heights, Sitio Sapinit, Barangay San Juan, Antipolo City</t>
  </si>
  <si>
    <t>M656+7FV, Sapinit Road, Antipolo, 1870 Rizal, Philippines</t>
  </si>
  <si>
    <t>Banoyo Integrated National High School</t>
  </si>
  <si>
    <t>Banoyo, San Luis, Batangas</t>
  </si>
  <si>
    <t>Banoyo, San Luis, Batangas, Philippines</t>
  </si>
  <si>
    <t>Bantad National High School</t>
  </si>
  <si>
    <t>Brgy.Bantad Gumaca,Quezon</t>
  </si>
  <si>
    <t>R5H7+572, Gumaca, Quezon, Philippines</t>
  </si>
  <si>
    <t>Bantulinao Integrated School</t>
  </si>
  <si>
    <t>Bantulinao</t>
  </si>
  <si>
    <t>Brgy, Bantolinao, Calauag, Quezon, Philippines</t>
  </si>
  <si>
    <t>Baptist Voice Bible College</t>
  </si>
  <si>
    <t>Citta Grande</t>
  </si>
  <si>
    <t>10 Edano St, Lucena City, 4301 Quezon, Philippines</t>
  </si>
  <si>
    <t>Barangay Longos Senior High School</t>
  </si>
  <si>
    <t>Concepcion St., Barangay Longos</t>
  </si>
  <si>
    <t>66 Hito St, Longos, Manila, Metro Manila, Philippines</t>
  </si>
  <si>
    <t>Baras Senior High School</t>
  </si>
  <si>
    <t>Kayrumaguit Road, Sitio Ibabaw, Brgy. San Juan</t>
  </si>
  <si>
    <t>San Juan, Batangas, Philippines</t>
  </si>
  <si>
    <t>Baras-Pinugay Integrated High School</t>
  </si>
  <si>
    <t>Habitat St.</t>
  </si>
  <si>
    <t>Southville 9 Ynares Village, Sitio Habitat, Brgy, Baras, 1870 Rizal, Philippines</t>
  </si>
  <si>
    <t>Batangan National High School</t>
  </si>
  <si>
    <t>Batangan</t>
  </si>
  <si>
    <t>Batangan, PHGX+5PQ, General Nakar, Quezon, Philippines</t>
  </si>
  <si>
    <t>Batangas Christian School</t>
  </si>
  <si>
    <t>De Joya Compound</t>
  </si>
  <si>
    <t>Q3J9+5WM, De Joya compound, Alangilan, Batangas City, Batangas, Philippines</t>
  </si>
  <si>
    <t>Batangas City Integrated High School</t>
  </si>
  <si>
    <t>Rizal Avenue</t>
  </si>
  <si>
    <t>Rizal Ave, Batangas City, Batangas, Philippines</t>
  </si>
  <si>
    <t>Batangas City South Senior High School</t>
  </si>
  <si>
    <t>Brgy. 7, Poblacion</t>
  </si>
  <si>
    <t>Poblacion, Makati City, Metro Manila, Philippines</t>
  </si>
  <si>
    <t>Batangas College of Arts and Sciences, Inc.</t>
  </si>
  <si>
    <t>-</t>
  </si>
  <si>
    <t>W4W9+4XP, Lipa City, Batangas, Philippines</t>
  </si>
  <si>
    <t>Batangas Eastern Colleges</t>
  </si>
  <si>
    <t>02 Javier</t>
  </si>
  <si>
    <t>1 Javier St, San Juan, Batangas, Philippines</t>
  </si>
  <si>
    <t>Batangas Province High School Culture and Arts</t>
  </si>
  <si>
    <t>Provincial Sports Complex, Bolbok, Batangas City</t>
  </si>
  <si>
    <t>Provincial Sports Complex, Bolbok, Batangas City, 4200 Batangas, Philippines</t>
  </si>
  <si>
    <t>Batangas State University-Apolinario R. Apacible School of Fisheries-Nasugbu</t>
  </si>
  <si>
    <t>Bucana</t>
  </si>
  <si>
    <t>Bucana, Nasugbu, Batangas, Philippines</t>
  </si>
  <si>
    <t>Bauan Colleges Inc</t>
  </si>
  <si>
    <t>A. Buendia St.</t>
  </si>
  <si>
    <t>Q2R6+W4R, Buendia St, Poblacion, Bauan, 4201 Batangas, Philippines</t>
  </si>
  <si>
    <t>Bauan Colleges Inc.</t>
  </si>
  <si>
    <t>Bauan National and Vocational Integrated High School</t>
  </si>
  <si>
    <t>San Agustin, Bauan, Batangas</t>
  </si>
  <si>
    <t>San Agustin, Bauan, Batangas, Philippines</t>
  </si>
  <si>
    <t>Bauan Technical Integrated High School</t>
  </si>
  <si>
    <t>Poblacion I, Bauan, Batangas</t>
  </si>
  <si>
    <t>Q2V3+323, Pedro Munoz Street, Poblacion, Bauan, Batangas, Philippines</t>
  </si>
  <si>
    <t>Baybayin Integrated National High School</t>
  </si>
  <si>
    <t>Baybayin, Rosario, Batangas</t>
  </si>
  <si>
    <t>Baybayin, Rosario, Batangas, Philippines</t>
  </si>
  <si>
    <t>Bayugo National High School</t>
  </si>
  <si>
    <t>T. Raagas St.</t>
  </si>
  <si>
    <t>Bayugo, Jala-jala, Rizal, Philippines</t>
  </si>
  <si>
    <t>BBSI Christian Academy</t>
  </si>
  <si>
    <t>Ortigas Ave. Ext., Kaytikling</t>
  </si>
  <si>
    <t>H4HR+5JX, Ortigas Ave, Taytay, 1920 Rizal, Philippines</t>
  </si>
  <si>
    <t>Beatitudes Technological &amp; Theological College Imus Cavite Inc.</t>
  </si>
  <si>
    <t>680 Anabu I-E Imus City, Cavite</t>
  </si>
  <si>
    <t>680, 1-E Anabu Rd, Imus, Cavite, Philippines</t>
  </si>
  <si>
    <t>Bendita Integrated High School</t>
  </si>
  <si>
    <t>Kaytitinga-Magallanes Rd.,</t>
  </si>
  <si>
    <t>Bendita National High School, Kaytitinga - Magallanes Rd, Magallanes, Cavite, Philippines</t>
  </si>
  <si>
    <t>Benedictine Institute of Learning</t>
  </si>
  <si>
    <t>Abad Homes Subdivision</t>
  </si>
  <si>
    <t>Abad Homes, Subdivision, 177 General Yengco St, Medicion I-B, Medicion, Imus, 4203 Cavite, Philippines</t>
  </si>
  <si>
    <t>Benjamin B. Esguerra Integrated School</t>
  </si>
  <si>
    <t>14 Camia St. Sta.Ana, Taytay, Rizal</t>
  </si>
  <si>
    <t>Brgy, 14 Camia street, Sta. Ana, Taytay, 1920 Rizal, Philippines</t>
  </si>
  <si>
    <t>Berea Arts and Sciences High School</t>
  </si>
  <si>
    <t>Ponce Street, Phase 7 Vista Verde Executive Village</t>
  </si>
  <si>
    <t>Ponce St, San Isidro, Cainta, 1900 Lalawigan ng Rizal, Philippines</t>
  </si>
  <si>
    <t>Bethel Academy of Gen. Trias Cavite</t>
  </si>
  <si>
    <t>237 Arnaldo Hwy, General Trias, 4107 Cavite, Philippines</t>
  </si>
  <si>
    <t>BIÃ‘AN CITY SENIOR HIGH SCHOOL-TIMBAO CAMPUS</t>
  </si>
  <si>
    <t>La Solidaridad Estate Homes</t>
  </si>
  <si>
    <t>B2, L24, La Solidaridad Estate Homes, San Isidro, Rodriguez, Rizal, Philippines</t>
  </si>
  <si>
    <t>BiÃ±an City Science and Technology High School</t>
  </si>
  <si>
    <t>Silmer Village</t>
  </si>
  <si>
    <t>BiÃ±an City Senior High School Sto. Tomas Campus</t>
  </si>
  <si>
    <t>Tagbilaran St. South City HOmes Sto. Tomas, Binan City</t>
  </si>
  <si>
    <t>838G+6Q8, Tagbilaran St, Biñan, Laguna, Philippines</t>
  </si>
  <si>
    <t>BiÃ±an City Senior High School-San Antonio Campus</t>
  </si>
  <si>
    <t>Pedro H. Escueta St. San Antonio, City of BiÃ±an, Laguna</t>
  </si>
  <si>
    <t>Pedro Escueta St, Biñan, Laguna, Philippines</t>
  </si>
  <si>
    <t>BiÃ±an City Senior High School-West Campus</t>
  </si>
  <si>
    <t>Langkiwa, BiÃ±an City</t>
  </si>
  <si>
    <t>73X5+52C, Biñan, Laguna, Philippines</t>
  </si>
  <si>
    <t>BiÃ±an Integrated National High School</t>
  </si>
  <si>
    <t>Sto. Domingo</t>
  </si>
  <si>
    <t>Santo Domingo, Ilocos Sur, Philippines</t>
  </si>
  <si>
    <t>BiÃ±an Pagsanjan Senior High School</t>
  </si>
  <si>
    <t>`</t>
  </si>
  <si>
    <t>6CVW+6HM, Pagsanjan, Laguna, Philippines</t>
  </si>
  <si>
    <t>BiÃ±an Senior High School Timbao Campus</t>
  </si>
  <si>
    <t>La Solidaridad Estates, Timbao Binan City</t>
  </si>
  <si>
    <t>73Q3+VHV, Biñan, Laguna, Philippines</t>
  </si>
  <si>
    <t>Biblica La Delle Academy, Inc.</t>
  </si>
  <si>
    <t>Marahan II</t>
  </si>
  <si>
    <t>Marahan II, Alfonso, 4123 Cavite, Philippines</t>
  </si>
  <si>
    <t>Bigaa Integrated National High School</t>
  </si>
  <si>
    <t>-Purok 5 Bigaa, Cabuyao Laguna</t>
  </si>
  <si>
    <t>74RH+GHP, Cabuyao City, Laguna, Philippines</t>
  </si>
  <si>
    <t>Bigain Integrated School</t>
  </si>
  <si>
    <t>Bigain South, San Jose, Batangas</t>
  </si>
  <si>
    <t>V3Q8+RG, San Jose, Batangas, Philippines</t>
  </si>
  <si>
    <t>Bignay National High School</t>
  </si>
  <si>
    <t>Bignay 2</t>
  </si>
  <si>
    <t>RFXC+3MV, Bignay 2, Sariaya, 4322 Quezon, Philippines</t>
  </si>
  <si>
    <t>Bilogo Integrated National High School</t>
  </si>
  <si>
    <t>Bilogo, Taysan, Batangas</t>
  </si>
  <si>
    <t>Bilogo, Taysan, Batangas, Philippines</t>
  </si>
  <si>
    <t>Binagbag Integrated High School</t>
  </si>
  <si>
    <t>Binagbag</t>
  </si>
  <si>
    <t>Binagbag, Angat, Bulacan, Philippines</t>
  </si>
  <si>
    <t>Binahaan Integrated School</t>
  </si>
  <si>
    <t>National Road</t>
  </si>
  <si>
    <t>XQR5+323, 1, Pagbilao, 4302 Quezon, Philippines</t>
  </si>
  <si>
    <t>Binangonan Catholic College</t>
  </si>
  <si>
    <t>Libid</t>
  </si>
  <si>
    <t>59 M.L. Quezon, Libis, Binangonan, 1940 Rizal, Philippines</t>
  </si>
  <si>
    <t>BINANGONAN CATHOLIC COLLEGE INC.</t>
  </si>
  <si>
    <t>Janosa-Talim</t>
  </si>
  <si>
    <t>Janosa, Binangonan, Rizal, Philippines</t>
  </si>
  <si>
    <t>Binangonan Garden of Learners</t>
  </si>
  <si>
    <t>290 Sta. Ursula Subd. Batingan</t>
  </si>
  <si>
    <t>F5FW+JH3, Binangonan, Rizal, Philippines</t>
  </si>
  <si>
    <t>BINANGONAN INTEGRATED NATIONAL HIGH SCHOOL</t>
  </si>
  <si>
    <t>C. Bolado Avenue, Barangay Tatala, Binangonan Rizal</t>
  </si>
  <si>
    <t>F6M4+JX5, C. Bolado Ave, Binangonan, 1940 Rizal, Philippines</t>
  </si>
  <si>
    <t>Binulasan Integrated School</t>
  </si>
  <si>
    <t>Brgy. Binulasan, Infanta, Quezon</t>
  </si>
  <si>
    <t>PMJX+J9V, Gen. Luna St, Infanta, Quezon, Philippines</t>
  </si>
  <si>
    <t>Binulasan IS</t>
  </si>
  <si>
    <t>Purok Langka</t>
  </si>
  <si>
    <t>Binulasan, Infanta, Quezon, Philippines</t>
  </si>
  <si>
    <t>Bitin NHS</t>
  </si>
  <si>
    <t>Rizal Ave, Manila, Metro Manila, Philippines</t>
  </si>
  <si>
    <t>Bixby Knolls Preparatory Academy</t>
  </si>
  <si>
    <t>Brgy. Loob, San Antonio, Quezon</t>
  </si>
  <si>
    <t>San Antonio, Quezon, Philippines</t>
  </si>
  <si>
    <t>Blessed Christ Child Montessori Foundation</t>
  </si>
  <si>
    <t>Brgy. Calzada Ermita</t>
  </si>
  <si>
    <t>Ermita, Manila, 1000 Metro Manila, Philippines</t>
  </si>
  <si>
    <t>Blessed Christian School de Sta. Rosa</t>
  </si>
  <si>
    <t>Rizal Blvd., Balibago</t>
  </si>
  <si>
    <t>East Drive Village, Pooc, Laguna, 74W4+XWC, City of Santa Rosa, Laguna, Philippines</t>
  </si>
  <si>
    <t>Blessed Hope Christian School</t>
  </si>
  <si>
    <t>M H DEL PILAR ST</t>
  </si>
  <si>
    <t>G73J+XMX, M.H. Del Pilar St, Tanay, Rizal, Philippines</t>
  </si>
  <si>
    <t>Blessed James Cusmano Academy</t>
  </si>
  <si>
    <t>BRGY. SAN ANTONIO MABITAC, LAGUNA</t>
  </si>
  <si>
    <t>FC2C+5X8 Brgy, San Antonio, Mabitac, Laguna, Philippines</t>
  </si>
  <si>
    <t>Blessed Maria Cristina Brando School</t>
  </si>
  <si>
    <t>419 Arnaldo Highway</t>
  </si>
  <si>
    <t>419 Arnaldo Hwy, General Trias, Cavite, Philippines</t>
  </si>
  <si>
    <t>Blessed Marian Academy Kingsville, Inc.</t>
  </si>
  <si>
    <t>Kingsville Subdivision Gate 2, Marcos Highway</t>
  </si>
  <si>
    <t>Kinder &amp; Grade 11-12</t>
  </si>
  <si>
    <t>Blessings in the Word Fellowship School Inc.</t>
  </si>
  <si>
    <t>Kaybagal South, Tagaytay City</t>
  </si>
  <si>
    <t>Kinder, Grade 1-6, Grade 7-10 &amp; Grade 11-</t>
  </si>
  <si>
    <t>155 J.P. Rizal St, Kaybagal South, Tagaytay City, 4120 Cavite, Philippines</t>
  </si>
  <si>
    <t>Boater's Wheel Educational System and Technology College</t>
  </si>
  <si>
    <t>Gomez Extension, Lucena City, Quezon</t>
  </si>
  <si>
    <t>P. Gomez St, Lucena City, 4301 Quezon, Philippines</t>
  </si>
  <si>
    <t>BOLBOK INTEGRATED NATIONAL HIGH SCHOOL</t>
  </si>
  <si>
    <t>425 Ilang-Ilang St, Lipa City, Batangas, Philippines</t>
  </si>
  <si>
    <t>Bonbon National High School (Formerly Libo NHS-Bonbon Annex)</t>
  </si>
  <si>
    <t>Bonbon</t>
  </si>
  <si>
    <t>9R9J+2QJ, Cebu City, 6000 Cebu, Philippines</t>
  </si>
  <si>
    <t>Bondoc Peninsula Agri. HS</t>
  </si>
  <si>
    <t>Sta. Rosa</t>
  </si>
  <si>
    <t>City of Santa Rosa, Laguna, Philippines</t>
  </si>
  <si>
    <t>Bondoc Peninsula Institute Inc.</t>
  </si>
  <si>
    <t>P.Aguila Street, Poblacion San Francisco, Quezon</t>
  </si>
  <si>
    <t>8GWC+R3G, P. Aguila St, San Francisco (Aurora), Quezon, Philippines</t>
  </si>
  <si>
    <t>Bonifacio National High School</t>
  </si>
  <si>
    <t>Bonifacio</t>
  </si>
  <si>
    <t>2HX8+V9J, Liloan, Bonifacio, Misamis Occidental, Philippines</t>
  </si>
  <si>
    <t>Bubuyan Integrated School</t>
  </si>
  <si>
    <t>Bubuyan Road</t>
  </si>
  <si>
    <t>54C3+VP4, Real, Calamba, 4027 Laguna, Philippines</t>
  </si>
  <si>
    <t>Bucal National Integrated School</t>
  </si>
  <si>
    <t>Bucal II, Maragondon,Cavite</t>
  </si>
  <si>
    <t>Bucal 2, Maragondon, Cavite, Maragondon, Cavite, Philippines</t>
  </si>
  <si>
    <t>Buenaventura Alandy National High School</t>
  </si>
  <si>
    <t>Barangay Ibabang Bukal</t>
  </si>
  <si>
    <t>2H29+4WF, City of Tayabas, 4327 Quezon, Philippines</t>
  </si>
  <si>
    <t>Buenaventura E. Fundialan Memorial Integrated National High School</t>
  </si>
  <si>
    <t>San Agustin, Alaminos, Laguna</t>
  </si>
  <si>
    <t>Purok 3, Alaminos, Laguna, Philippines</t>
  </si>
  <si>
    <t>Buenavista Integrated National High School</t>
  </si>
  <si>
    <t>Cigaras,Magdalena,Laguna</t>
  </si>
  <si>
    <t>Buenavista NHS</t>
  </si>
  <si>
    <t>Lilukin</t>
  </si>
  <si>
    <t>Lilukin, Buenavista, Quezon, Philippines</t>
  </si>
  <si>
    <t>Bugarin National High School</t>
  </si>
  <si>
    <t>National Road Sitio Bugarin</t>
  </si>
  <si>
    <t>Bugtongnapulo Integrated National High School</t>
  </si>
  <si>
    <t>X5X9+XGF, President Jose P. Laurel Hwy, Lipa City, Batangas, Philippines</t>
  </si>
  <si>
    <t>Buhaynasapa Integrated National High School</t>
  </si>
  <si>
    <t>Buhay na Sapa, San Juan, Batangas</t>
  </si>
  <si>
    <t>Buhay Na Sapa, San Juan, Batangas, Philippines</t>
  </si>
  <si>
    <t>Bukal Integrated National High School</t>
  </si>
  <si>
    <t>Bukal, Padre Garcia, Batangas</t>
  </si>
  <si>
    <t>121 Garcia - Rosario - San Juan - Candelaria Rd, Padre Garcia, 4224 Batangas, Philippines</t>
  </si>
  <si>
    <t>Bukal Sur National High School</t>
  </si>
  <si>
    <t>Buenavista West</t>
  </si>
  <si>
    <t>Buenavista West, Candelaria, Quezon, Philippines</t>
  </si>
  <si>
    <t>Bulacnin Integrated NHS</t>
  </si>
  <si>
    <t>Bulacnin, Lipa City, Batangas, Philippines</t>
  </si>
  <si>
    <t>Bulihan Integrated National High School</t>
  </si>
  <si>
    <t>Bulihan, Silang, Cavite, Philippines</t>
  </si>
  <si>
    <t>Bulihan Integrated Senior High School</t>
  </si>
  <si>
    <t>Bulihan, Rosario, Batangas</t>
  </si>
  <si>
    <t>R62H+9HQ, Rosario, Batangas, Philippines</t>
  </si>
  <si>
    <t>Bunggo Integrated School</t>
  </si>
  <si>
    <t>Bunggo Road</t>
  </si>
  <si>
    <t>Bunggo Rd, Bunggo, 4027, Philippines</t>
  </si>
  <si>
    <t>Burdeos NHS (Judith NHS)</t>
  </si>
  <si>
    <t>Sabang Road</t>
  </si>
  <si>
    <t>Sabang Rd., Burdeos, Quezon, Philippines</t>
  </si>
  <si>
    <t>BURGOS INTEGRATED HIGH SCHOOL</t>
  </si>
  <si>
    <t>Sitio Inawitan Kanluran</t>
  </si>
  <si>
    <t>Burgos, Kanluran, Naic, Cavite, Philippines</t>
  </si>
  <si>
    <t>Busdak NHS (Formerly Busdak NHS - Patnanungan NHS Annex)</t>
  </si>
  <si>
    <t>Busdak</t>
  </si>
  <si>
    <t>Busdak, Patnanungan, Quezon, Philippines</t>
  </si>
  <si>
    <t>Butanguiad NHS</t>
  </si>
  <si>
    <t>Butanguiad</t>
  </si>
  <si>
    <t>Butanguiad, San Francisco (Aurora), Quezon, Philippines</t>
  </si>
  <si>
    <t>Cabay NHS</t>
  </si>
  <si>
    <t>Cabay</t>
  </si>
  <si>
    <t>Cabay, Tiaong, Quezon, Philippines</t>
  </si>
  <si>
    <t>Cabibihan National High School</t>
  </si>
  <si>
    <t>Bataller-Mendoza Hill</t>
  </si>
  <si>
    <t>Cabibihan, 2GFJ+R22, Tagkawayan, 4321 Quezon, Philippines</t>
  </si>
  <si>
    <t>Cabong NHS</t>
  </si>
  <si>
    <t>Cabong</t>
  </si>
  <si>
    <t>Cabong, City of Borongan, Eastern Samar, Philippines</t>
  </si>
  <si>
    <t>Cabulihan NHS</t>
  </si>
  <si>
    <t>Cabulihan</t>
  </si>
  <si>
    <t>Cabulihan, Pitogo, Quezon, Philippines</t>
  </si>
  <si>
    <t>Cabuyao Institute of Technology</t>
  </si>
  <si>
    <t>Enterprise Park, Banay-banay</t>
  </si>
  <si>
    <t>744Q+39F, Cabuyao City, Laguna, Philippines</t>
  </si>
  <si>
    <t>Cabuyao Integrated National High School</t>
  </si>
  <si>
    <t>Limcaoco Subd. Brgy. Tres, Cabuyao City, Laguna</t>
  </si>
  <si>
    <t>74GG+3M4, N Limcaoco, Subdivision, Cabuyao City, 4025 Laguna, Philippines</t>
  </si>
  <si>
    <t>Cagbalete Island National High School</t>
  </si>
  <si>
    <t>Cagbalete I</t>
  </si>
  <si>
    <t>Cagbalete I, 7R4C+XPV, Mauban, Quezon, Philippines</t>
  </si>
  <si>
    <t>Cagsiay I National High School</t>
  </si>
  <si>
    <t>Mauban National Road</t>
  </si>
  <si>
    <t>6PCW+GGR, Cagsiay I, Mauban, Quezon, Philippines</t>
  </si>
  <si>
    <t>Cagsiay III NHS</t>
  </si>
  <si>
    <t>Centro</t>
  </si>
  <si>
    <t>Cagsiay III, Mauban, Quezon, Philippines</t>
  </si>
  <si>
    <t>Caigdal National High School</t>
  </si>
  <si>
    <t>Brgy. Caigdal</t>
  </si>
  <si>
    <t>R2MH+727, Unisan, Quezon, Philippines</t>
  </si>
  <si>
    <t>Cainta Senior High School</t>
  </si>
  <si>
    <t>SITIO VICTORIA</t>
  </si>
  <si>
    <t>Estrella, Sitio Victoria, Cainta, 1900 Rizal, Philippines</t>
  </si>
  <si>
    <t>Calaca Senior High School</t>
  </si>
  <si>
    <t>Madalunot, Calaca City, Batangas</t>
  </si>
  <si>
    <t>Bridge, 21 Madalunot Rd, Calaca, Batangas, Philippines</t>
  </si>
  <si>
    <t>Calamba Bayside  Integrated  School</t>
  </si>
  <si>
    <t>Mt. Halcon St.</t>
  </si>
  <si>
    <t>658P+JJH Castillo compound, 80 Caballero St, Calamba, 4027 Laguna, Philippines</t>
  </si>
  <si>
    <t>Calamba City School for the Arts</t>
  </si>
  <si>
    <t>Chipeco Ave., Brgy. III, Calamba City</t>
  </si>
  <si>
    <t>6546+WVX, Chipeco Ave, Calamba, 4027 Laguna, Philippines</t>
  </si>
  <si>
    <t>Calamba City Science Integrated School</t>
  </si>
  <si>
    <t>Chipeco Ave, Brgy 3, Calamba City</t>
  </si>
  <si>
    <t>Calamba City Senior High School</t>
  </si>
  <si>
    <t>Chipeco Ave, Brgy 3</t>
  </si>
  <si>
    <t>Chipeco Ave, Barangay 3, Calamba, 4027 Laguna, Philippines</t>
  </si>
  <si>
    <t>Calamba Doctors' College</t>
  </si>
  <si>
    <t>Virborough Subdivision, Barangay Parian, Calamba City, Laguna</t>
  </si>
  <si>
    <t>VIRBOROUGH SUBDIVISION, Calamba, 4027 Laguna, Philippines</t>
  </si>
  <si>
    <t>Calamba Integrated School</t>
  </si>
  <si>
    <t>Gitnang Bukid, Brrgy.  Banadero, Calamba City</t>
  </si>
  <si>
    <t>Gitnang Bukid, 6588+PQG, Calamba, 4027 Laguna, Philippines</t>
  </si>
  <si>
    <t>Calangay Integrated High School</t>
  </si>
  <si>
    <t>Main Barangay Road</t>
  </si>
  <si>
    <t>Calangay, San Nicolas, Batangas, Philippines</t>
  </si>
  <si>
    <t>Calantas NHS</t>
  </si>
  <si>
    <t>Calantas</t>
  </si>
  <si>
    <t>Calantas, Floridablanca, Pampanga, Philippines</t>
  </si>
  <si>
    <t>Calantas Senior High School</t>
  </si>
  <si>
    <t>Calantas, Rosario, Batangas</t>
  </si>
  <si>
    <t>P8Q3+5HR, Unnamed Road, Rosario, Batangas, Philippines</t>
  </si>
  <si>
    <t>Calasumanga NHS (Formerly San Juan NHS - Calasumanga Ext.)</t>
  </si>
  <si>
    <t>Calasumanga</t>
  </si>
  <si>
    <t>Calasumanga, Panukulan, Quezon, Philippines</t>
  </si>
  <si>
    <t>Calatagan Senior High School</t>
  </si>
  <si>
    <t>Lacaba St., Poblacion 2, Calatagan, Batangas</t>
  </si>
  <si>
    <t>RJMJ+832, Eugenio Lacaba St, Calatagan, Batangas, Philippines</t>
  </si>
  <si>
    <t>Calauag Central College Inc.</t>
  </si>
  <si>
    <t>Rizal St. cor. Arguelles St.</t>
  </si>
  <si>
    <t>Grade 1-6, Grade 7-10 &amp; Grade 11-12</t>
  </si>
  <si>
    <t>Calauag, Quezon, Philippines</t>
  </si>
  <si>
    <t>Calauag Central College, Inc.</t>
  </si>
  <si>
    <t>Rizal St. corner Arguelles St.</t>
  </si>
  <si>
    <t>Calauag NHS</t>
  </si>
  <si>
    <t>Maharlika Highway, Brgy. Sta. Maria</t>
  </si>
  <si>
    <t>1, Santa Maria, Bulacan, Philippines</t>
  </si>
  <si>
    <t>Calauan Community College</t>
  </si>
  <si>
    <t>Bgry. Lamot 2, Calauan, Laguna, Calauan, Laguna</t>
  </si>
  <si>
    <t>Grace Street, Santo Tomas, Calauan, 4012 Laguna, Philippines</t>
  </si>
  <si>
    <t>Calawis National High School</t>
  </si>
  <si>
    <t>Sitio Paikulan Brgy. Calawis</t>
  </si>
  <si>
    <t>14°41'06. 121°14'36., 5"N C-4, Mandaluyong City, 1870 Metro Manila, Philippines</t>
  </si>
  <si>
    <t>California Academy for Lilminius (CAL), Inc.</t>
  </si>
  <si>
    <t>2450 Road 1, Inday Subdivision</t>
  </si>
  <si>
    <t>Callejon NHS</t>
  </si>
  <si>
    <t>Callejon</t>
  </si>
  <si>
    <t>Callejon, San Antonio, Quezon, Philippines</t>
  </si>
  <si>
    <t>Calminue Integrated National High School</t>
  </si>
  <si>
    <t>Sitio Calminue</t>
  </si>
  <si>
    <t>Calubcub I Senior High School</t>
  </si>
  <si>
    <t>Calubcub 1.0, San Juan, Batangas</t>
  </si>
  <si>
    <t>QC2C+PJ8 Sito Centro, 0, San Juan, 4226 Batangas, Philippines</t>
  </si>
  <si>
    <t>Calumpang Integrated National High School</t>
  </si>
  <si>
    <t>Calumpang Cerca, Indang</t>
  </si>
  <si>
    <t>Calumpang Cerca, Indang, Cavite, Philippines</t>
  </si>
  <si>
    <t>Camohaguin National High School</t>
  </si>
  <si>
    <t>Purok 2</t>
  </si>
  <si>
    <t>Purok II, Pavia, Iloilo, Philippines</t>
  </si>
  <si>
    <t>Camp Vicente Lim Integrated School</t>
  </si>
  <si>
    <t>Camp Vicente Lim</t>
  </si>
  <si>
    <t>648F+66H, Camp Vicente Lim Rd, Calamba, 4027 Laguna, Philippines</t>
  </si>
  <si>
    <t>Canda National High School</t>
  </si>
  <si>
    <t>Sitio Centro</t>
  </si>
  <si>
    <t>6M26+9WM, P L. Dupaya St, Lal-lo, Cagayan, Philippines</t>
  </si>
  <si>
    <t>Canlubang Integrated School</t>
  </si>
  <si>
    <t>Sta Regina Homes Subd. Mangumit II</t>
  </si>
  <si>
    <t>6334+49P, Unnamed Road, Calamba, 4027 Laguna, Philippines</t>
  </si>
  <si>
    <t>Canossa Academy</t>
  </si>
  <si>
    <t>San Lorenzo Ruiz St., San Carlos, Lipa City, Batangas</t>
  </si>
  <si>
    <t>Calle Arzobizpado Street, Barangay San Carlos - Lipa City Rd, Lipa City, 4217 Batangas, Philippines</t>
  </si>
  <si>
    <t>Canossa College - San Pablo City</t>
  </si>
  <si>
    <t>Lakeside Park Subdivision, San Pablo City, Laguna</t>
  </si>
  <si>
    <t>Lakeside Park Subdivision, Azcarate Cir, San Pablo, 4000 Laguna, Philippines</t>
  </si>
  <si>
    <t>Canumay NHS</t>
  </si>
  <si>
    <t>Purok Canumay, Sitio San Ysiro</t>
  </si>
  <si>
    <t>Canumay West (Canumay), Valenzuela, Metro Manila, Philippines</t>
  </si>
  <si>
    <t>Capellan Institute of Technology-San Pablo City</t>
  </si>
  <si>
    <t>L. Cosico Avenue, Brgy. I-A, San Pablo City, Laguna</t>
  </si>
  <si>
    <t>216-214 Cosico Ave, San Pablo City, Laguna, Philippines</t>
  </si>
  <si>
    <t>CARD-MRI Development Institute</t>
  </si>
  <si>
    <t>Barangay Tranca, Bay, Laguna</t>
  </si>
  <si>
    <t>47H6+W2R, Bay, Laguna, Philippines</t>
  </si>
  <si>
    <t>CARD-MRI Development Institute, Inc.</t>
  </si>
  <si>
    <t>Purok 1, Brgy. Tranca, Bay, Laguna</t>
  </si>
  <si>
    <t>Cardona Senior High School</t>
  </si>
  <si>
    <t>Estacio Blvd.</t>
  </si>
  <si>
    <t>F6MJ+8RP, Cardona, Rizal, Philippines</t>
  </si>
  <si>
    <t>Carlos "Botong"  V. Francisco Memorial National High School</t>
  </si>
  <si>
    <t>Grand Valley Phase IV</t>
  </si>
  <si>
    <t>Casay National High School</t>
  </si>
  <si>
    <t>Sitio Centro Brgy. Casay</t>
  </si>
  <si>
    <t>RGCX+PCP, Natalio B. Bacalso S National Hwy, Dalaguete, Cebu, Philippines</t>
  </si>
  <si>
    <t>Casile Integrated National High School</t>
  </si>
  <si>
    <t>-Purok 2</t>
  </si>
  <si>
    <t>5299+XPJ, Cabuyao City, 4025 Laguna, Philippines</t>
  </si>
  <si>
    <t>CastaÃ±as NHS</t>
  </si>
  <si>
    <t>CastaÃ±as</t>
  </si>
  <si>
    <t>Catalino D. Salazar National High School-Senior High School</t>
  </si>
  <si>
    <t>J.P. Rizal Street</t>
  </si>
  <si>
    <t>C63H+5V6, Cardona, Rizal, Philippines</t>
  </si>
  <si>
    <t>Catanauan National High School</t>
  </si>
  <si>
    <t>Tagbacan Ibaba</t>
  </si>
  <si>
    <t>H8XP+HHJ, Catanauan, Quezon, Philippines</t>
  </si>
  <si>
    <t>Cavinti Integrated National High School</t>
  </si>
  <si>
    <t>Brgy. Duhat Cavinti, Laguna</t>
  </si>
  <si>
    <t>Duhat, 6GW2+P32, Cavinti - Luisiana Rd, Cavinti, Laguna, Philippines</t>
  </si>
  <si>
    <t>Cavite Community Academy, Inc.</t>
  </si>
  <si>
    <t>Public Market Road</t>
  </si>
  <si>
    <t>Cavite, Philippines</t>
  </si>
  <si>
    <t>Cavite National High School</t>
  </si>
  <si>
    <t>Chief E. Martin Street, Caridad, Cavite City</t>
  </si>
  <si>
    <t>Chief, E Martin Street, Caridad, Cavite, 4100 Cavite, Philippines</t>
  </si>
  <si>
    <t>Cavite School of Life</t>
  </si>
  <si>
    <t>Salawag Crossing, Salawag, DasmariÃ±as City, Cavite</t>
  </si>
  <si>
    <t>107 Molino-Paliparan Road, EVY Building, Crossing, Salawag, Dasmariñas, 4114 Cavite, Philippines</t>
  </si>
  <si>
    <t>Cavite Science Integrated School</t>
  </si>
  <si>
    <t>Maragondon - Ternate Road,</t>
  </si>
  <si>
    <t>7PGM+PJP Maragondon-Ternate, Ternate Road, Road, Maragondon, Cavite, Philippines</t>
  </si>
  <si>
    <t>Cavite State University - Rosario Secondary Education Laboratory School</t>
  </si>
  <si>
    <t>CV38+C99, Rosario, Cavite, Philippines</t>
  </si>
  <si>
    <t>Cavite State University Science High School</t>
  </si>
  <si>
    <t>Bancod Road</t>
  </si>
  <si>
    <t>Bancod, Indang, Cavite, Philippines</t>
  </si>
  <si>
    <t>Cavite West Point College - Cavite City, Inc.</t>
  </si>
  <si>
    <t>Lt Bldg., 485 P. Burgos Ave., 34,</t>
  </si>
  <si>
    <t>LT Building, 485 P. Burgos Ave, 34, Cavite, 4100 Cavite, Philippines</t>
  </si>
  <si>
    <t>Cavite West Point College, Inc.</t>
  </si>
  <si>
    <t>Governor's Drive</t>
  </si>
  <si>
    <t>7PJG+4VJ Maragondon, Ternate - Nasugbu Rd, Ternate, Cavite, Philippines</t>
  </si>
  <si>
    <t>Cayabu Integrated School</t>
  </si>
  <si>
    <t>AZUCENA STREET</t>
  </si>
  <si>
    <t>M86V+G9H, Azucena St, Brgy. Cayabu, Tanay, 1870 Rizal, Philippines</t>
  </si>
  <si>
    <t>Center for Positive Futures (Balite)</t>
  </si>
  <si>
    <t>27 JP Rizal St.</t>
  </si>
  <si>
    <t>27 J. P. Rizal St, Rodriguez, 1860 Rizal, Philippines</t>
  </si>
  <si>
    <t>Center for Positive Futures (Banaba)</t>
  </si>
  <si>
    <t># 10 Pangan Compound</t>
  </si>
  <si>
    <t>9091 Pangan St, San Mateo, Rizal, Philippines</t>
  </si>
  <si>
    <t>Central Rizal Institute of Technology Inc.</t>
  </si>
  <si>
    <t>1024 Felix Ave. Brgy. Sto. Domingo</t>
  </si>
  <si>
    <t>Brgy, 1024 Felix Ave, Santo Domingo, Cainta, 1900 Lalawigan ng Rizal, Philippines</t>
  </si>
  <si>
    <t>Cesar C. Tan Memorial National High School (formerly Cometa NHS Annex)</t>
  </si>
  <si>
    <t>Brgy. 4</t>
  </si>
  <si>
    <t>256M+JRX, Quezon, Philippines</t>
  </si>
  <si>
    <t>CITI GLOBAL COLLEGE INC.</t>
  </si>
  <si>
    <t>Ericted Thereon, Canicosa Ave.,</t>
  </si>
  <si>
    <t>Francisco, A. Canicosa Avenue, Balibago, City of Santa Rosa, Laguna, Philippines</t>
  </si>
  <si>
    <t>CITI GLOBAL COLLEGE INC. - BiÃ±an</t>
  </si>
  <si>
    <t>PN Building, A. Bonifacio St., City of BiÃ±an, Laguna</t>
  </si>
  <si>
    <t>Sapwise Commercial Building, 4033 Jose Rizal Ave, Bay, Laguna, Philippines</t>
  </si>
  <si>
    <t>CITI Global College-Biñan</t>
  </si>
  <si>
    <t>PN Bldg, A. Bonifacio St., Poblacion, Biñan City, Laguna</t>
  </si>
  <si>
    <t>83QM+H7W, Biñan, Laguna, Philippines</t>
  </si>
  <si>
    <t>CITI Global College-Cabuyao</t>
  </si>
  <si>
    <t>#13 J.P. Rizal St., Bayan Walk Arcade, Cabuyao City, Laguna</t>
  </si>
  <si>
    <t>74HF+FFG, JP Rizal St, Cabuyao City, 4025 Laguna, Philippines</t>
  </si>
  <si>
    <t>CITI Global College-Calamba</t>
  </si>
  <si>
    <t>M3 Building, Chipeco Ave., Brgy. Tres, Calamba City, Laguna</t>
  </si>
  <si>
    <t>127 Chipeco Ave, Calamba, 4027 Laguna, Philippines</t>
  </si>
  <si>
    <t>CITI Global College-Sta. Rosa</t>
  </si>
  <si>
    <t>2F Henry Harvey Sih, Canicosa Ave., Brgy. Balibago, Sta. Rosa City, Laguna</t>
  </si>
  <si>
    <t>2B Santa Rosa - Tagaytay Rd, 1, Noveleta, 4105 Cavite, Philippines</t>
  </si>
  <si>
    <t>CITI GLOBAL COLLEGE, INC.</t>
  </si>
  <si>
    <t>M3 Building, Chipeco Avenue, Brgy. 3</t>
  </si>
  <si>
    <t>City College of Calamba</t>
  </si>
  <si>
    <t>Barretto Street, Old Municipal Hall, Calamba City, Laguna</t>
  </si>
  <si>
    <t>6569+R2J, General Lim St, Calamba, 4027 Laguna, Philippines</t>
  </si>
  <si>
    <t>City College of Tagaytay</t>
  </si>
  <si>
    <t>Akle St., Kaybagal St.</t>
  </si>
  <si>
    <t>4W2Q+GCX, Kaybagal South, Tagaytay City, 4120 Cavite, Philippines</t>
  </si>
  <si>
    <t>Cogorin Ibaba NHS (Formerly Lopez NCHSl - Cogorin Ibaba Extension)</t>
  </si>
  <si>
    <t>Cogorin Ibaba</t>
  </si>
  <si>
    <t>Cogorin Ibaba, Lopez, Quezon, Philippines</t>
  </si>
  <si>
    <t>Col. Lauro D. Dizon Memorial Integrated High School</t>
  </si>
  <si>
    <t>Mavenida st.</t>
  </si>
  <si>
    <t>38FF+855 Brgy, Barangay VI-A, San Pablo City, 4000 Laguna, Philippines</t>
  </si>
  <si>
    <t>COLEGIO DE AVEDAD INC.</t>
  </si>
  <si>
    <t>0459 Purok 3, Balanga, San Antonio I,</t>
  </si>
  <si>
    <t>Purok 3, San Miguel, San Antonio, Zambales, Philippines</t>
  </si>
  <si>
    <t>Colegio de Los BaÃ±os</t>
  </si>
  <si>
    <t>Lopez Avenue, Batong Malake, Los BaÃ±os, Laguna</t>
  </si>
  <si>
    <t>Lopez Ave, Batong Malake, Los Baños, Laguna, Philippines</t>
  </si>
  <si>
    <t>Colegio de Los Baños</t>
  </si>
  <si>
    <t>Lopez Avenue, Batong Malake, Los Baños, Laguna</t>
  </si>
  <si>
    <t>Lopez Ave, Los Baños, 4030 Laguna, Philippines</t>
  </si>
  <si>
    <t>Colegio De Porta Vaga Inc.</t>
  </si>
  <si>
    <t>MYP-GBY Bldg., E. Aguinaldo Highway, Imus City, Cavite</t>
  </si>
  <si>
    <t>Emilio Aguinaldo Hwy, Imus, Cavite, Philippines</t>
  </si>
  <si>
    <t>Colegio De San Juan De Letran Calamba</t>
  </si>
  <si>
    <t>Ipil-Ipil Street, Brgy. Bucal, Calamba City, Laguna</t>
  </si>
  <si>
    <t>55Q8+F5J, Bucal Bypass Rd, Calamba, 4027 Laguna, Philippines</t>
  </si>
  <si>
    <t>Colegio de Santo Cristo de Burgos</t>
  </si>
  <si>
    <t>Valderas St. cor.Quezon Ave., Brgy. 2, District 2</t>
  </si>
  <si>
    <t>XG7G+H35, Valderas St, Sariaya, 4322 Quezon, Philippines</t>
  </si>
  <si>
    <t>Colegio De Santo Domingo De Silos</t>
  </si>
  <si>
    <t>Brgy. Gulod, Calatagan, Batangas</t>
  </si>
  <si>
    <t>Gulod, Calatagan, 4215 Batangas, Philippines</t>
  </si>
  <si>
    <t>Colegio San Agustin-Biñan</t>
  </si>
  <si>
    <t>Southwoods Interchange, Brgy. San Francisco, Biñan City, Laguna</t>
  </si>
  <si>
    <t>83J3+85Q, Southwoods Ecocentrum ave, Biñan, 4024 Laguna, Philippines</t>
  </si>
  <si>
    <t>College of Arts &amp; Sciences of Asia &amp; the Pacific-Rodriguez</t>
  </si>
  <si>
    <t>Brgy. San Jose, Rodriguez, Rizal</t>
  </si>
  <si>
    <t>JEM Bldg., Rizal Ave, Taytay, 1920 Rizal, Philippines</t>
  </si>
  <si>
    <t>College of Arts and Sciences of Asia and the Pacific (CASAP)-Taytay</t>
  </si>
  <si>
    <t>CASAP Bldg., 199 JEM Bldg., Rizal Ave., Taytay, Rizal</t>
  </si>
  <si>
    <t>COLLEGE OF ARTS AND SCIENCES OF ASIA AND THE PACIFIC RODRIGUEZ RIZAL, INC.</t>
  </si>
  <si>
    <t>85 Payatas Road, Brgy. San Jose, Roadriguez, Rizal</t>
  </si>
  <si>
    <t>P4HG+W2Q, Payatas Rd, Rodriguez, Metro Manila, Philippines</t>
  </si>
  <si>
    <t>College of Saint John Paul II Arts and Sciences Inc.</t>
  </si>
  <si>
    <t>Mercedez Bldg. Junction, Ortigas Ave Ext., Brgy. Sto. Domingo, Cainta, Rizal</t>
  </si>
  <si>
    <t>Mercedez Building, Ortigas Ave Ext, Sto. Domingo, Cainta, 1900 Rizal, Philippines</t>
  </si>
  <si>
    <t>College of San Benildo - Rizal</t>
  </si>
  <si>
    <t>Km. 22, Sumulong Highway</t>
  </si>
  <si>
    <t>J4CW+4XJ, Sumulong Hwy, Barangay Sta. Cruz, Antipolo, 1870 Rizal, Philippines</t>
  </si>
  <si>
    <t>COMMUNITY TECHNOLOGICAL COLLEGE INC.</t>
  </si>
  <si>
    <t>Pleasantville, Ilayang Iyam</t>
  </si>
  <si>
    <t>1304 Bonifacio Dr, Lucena City, 4301 Quezon, Philippines</t>
  </si>
  <si>
    <t>Computer Site Ins. Inc.</t>
  </si>
  <si>
    <t>#15 Sto. NiÃ±o</t>
  </si>
  <si>
    <t>Concepcion National High School</t>
  </si>
  <si>
    <t>Concepcion</t>
  </si>
  <si>
    <t>Concepcion National High School, Quebrada Rd, Concepcion, Romblon, Philippines</t>
  </si>
  <si>
    <t>Conde Labac Integrated School</t>
  </si>
  <si>
    <t>Conde Labac</t>
  </si>
  <si>
    <t>Conde Labak, Batangas City, Batangas, Philippines</t>
  </si>
  <si>
    <t>Cotta National High School</t>
  </si>
  <si>
    <t>WJC6+5W5, Cotta, Lucena City, 4301 Quezon, Philippines</t>
  </si>
  <si>
    <t>Crecencia Drucila Lopez Senior High School</t>
  </si>
  <si>
    <t>Purok 4, DLMP Compound</t>
  </si>
  <si>
    <t>Purok 4, San Miguel, San Antonio, Zambales, Philippines</t>
  </si>
  <si>
    <t>CRISTO REY INSTITUTE FOR CAREER DEVELOPMENT, INC.</t>
  </si>
  <si>
    <t>106 Rizal Avenue</t>
  </si>
  <si>
    <t>160 Rizal Street, Poblacion, Batangas City, Batangas, Philippines</t>
  </si>
  <si>
    <t>Cristobal S. Conducto Memorial Integrated National High School</t>
  </si>
  <si>
    <t>Subida St.</t>
  </si>
  <si>
    <t>497V+5VX, Subida, Rizal, Laguna, Philippines</t>
  </si>
  <si>
    <t>CSTC College of Sciences, Technology and Communications, Inc.</t>
  </si>
  <si>
    <t>28 Capitol Road, Purok Camia</t>
  </si>
  <si>
    <t>Camia, Barangay 1, San Jose, Occidental Mindoro, Philippines</t>
  </si>
  <si>
    <t>CSTC College of Sciences, Technology, and Communications, Inc.</t>
  </si>
  <si>
    <t>Brgy. Tagbakin, Atimonan Quezon</t>
  </si>
  <si>
    <t>Arellano Subdivision, 1, Sariaya, 4322 Quezon, Philippines</t>
  </si>
  <si>
    <t>Cuenca Institute, Inc.</t>
  </si>
  <si>
    <t>GEN. MALVAR ST.</t>
  </si>
  <si>
    <t>Gen. Malvar St, Malate, Manila, 1004 Metro Manila, Philippines</t>
  </si>
  <si>
    <t>Cuenca Senior High School</t>
  </si>
  <si>
    <t>Poblacion 2, Cuenca, Batangas</t>
  </si>
  <si>
    <t>5 N433, Cuenca, Batangas, Philippines</t>
  </si>
  <si>
    <t>Cuyab Integrated National High School</t>
  </si>
  <si>
    <t>Quezon St. Brgy. Cuyab, San Pedro City, Laguna</t>
  </si>
  <si>
    <t>93C5+CJG, Quezon St, Cuyab, San Pedro, Laguna, Philippines</t>
  </si>
  <si>
    <t>D'Illumina College</t>
  </si>
  <si>
    <t>Lot 190 J.P. Rizal St., Calamba City, Laguna</t>
  </si>
  <si>
    <t>190 JP Rizal St, Calamba, 4027 Laguna, Philippines</t>
  </si>
  <si>
    <t>Dacanlao G. Agoncillo National High School</t>
  </si>
  <si>
    <t>Dacanlao, Calaca City, Batangas</t>
  </si>
  <si>
    <t>Brgy, Dacanlao, Calaca, Batangas, Philippines</t>
  </si>
  <si>
    <t>Daehan College of Business and Technology, Inc.</t>
  </si>
  <si>
    <t>Road 20, Sitio Siwang, Damayan Floodway, Siwang, San Juan, Taytay, Rizal</t>
  </si>
  <si>
    <t>G4RC+XC2, Taytay, 1920 Rizal, Philippines</t>
  </si>
  <si>
    <t>Dagatan Family Farm School</t>
  </si>
  <si>
    <t>120 Narra Street</t>
  </si>
  <si>
    <t>120 Narra St, Barangay Dagatan, Lipa City, 4217 Batangas, Philippines</t>
  </si>
  <si>
    <t>Dagatan Integrated National High School</t>
  </si>
  <si>
    <t>Dagatan, Taysan, Batangas</t>
  </si>
  <si>
    <t>Dagatan, Taysan, Batangas, Philippines</t>
  </si>
  <si>
    <t>Dagatan National High School</t>
  </si>
  <si>
    <t>Purok 4</t>
  </si>
  <si>
    <t>Dalig National High School</t>
  </si>
  <si>
    <t>National Road, Sitio Parugan</t>
  </si>
  <si>
    <t>H5GV+36F, National Rd, Antipolo, 1870 Rizal, Philippines</t>
  </si>
  <si>
    <t>Dalubhasaan ng Lunsod ng San Pablo</t>
  </si>
  <si>
    <t>San Jose, 3rd District, San Pablo City, Laguna</t>
  </si>
  <si>
    <t>San Pablo, San Pablo City, Laguna, Philippines</t>
  </si>
  <si>
    <t>Danlagan NHS (Formerly Kinagunan Ibaba NHS Ext. Classes)</t>
  </si>
  <si>
    <t>Danlagan</t>
  </si>
  <si>
    <t>Kinagunan Ibaba, Padre Burgos, Quezon, Philippines</t>
  </si>
  <si>
    <t>Dao National High School (Formerly San Francisco B NHS - San Miguel Dao II Ext.)</t>
  </si>
  <si>
    <t>Buyaburin</t>
  </si>
  <si>
    <t>Dao, Capiz, Philippines</t>
  </si>
  <si>
    <t>Daraetan Integrated School</t>
  </si>
  <si>
    <t>DELA CARZADA ST.</t>
  </si>
  <si>
    <t>DasmariÃ±as East Integrated High School</t>
  </si>
  <si>
    <t>San Simon</t>
  </si>
  <si>
    <t>San Simon (Barangay 7), Dasmariñas, Cavite, Philippines</t>
  </si>
  <si>
    <t>DasmariÃ±as Integrated High School</t>
  </si>
  <si>
    <t>Burol I</t>
  </si>
  <si>
    <t>Burol I, Dasmariñas, Cavite, Philippines</t>
  </si>
  <si>
    <t>DATACOM INSTITUTE OF COMPUTER TECHNOLOGY</t>
  </si>
  <si>
    <t>DRB Building</t>
  </si>
  <si>
    <t>Datacom Institute of Computer Technology Corporation</t>
  </si>
  <si>
    <t>9115 General Trias Drive</t>
  </si>
  <si>
    <t>Puregold Rosario, General Trias Dr, Rosario, Cavite, Philippines</t>
  </si>
  <si>
    <t>Dayap National Integrated High School</t>
  </si>
  <si>
    <t>Poblacion, Calauan, Laguna-</t>
  </si>
  <si>
    <t>48X6+4WP, Bay - Calauan Hwy, Calauan, Laguna, Philippines</t>
  </si>
  <si>
    <t>De La Salle Medical and Health Sciences Institute</t>
  </si>
  <si>
    <t>Governor D. Mangubat Avenue, City of DasmariÃ±as, Cavite</t>
  </si>
  <si>
    <t>Deaf Evangelistic Alliance Foundation</t>
  </si>
  <si>
    <t>Paowin, Cavinti, Laguna</t>
  </si>
  <si>
    <t>Cavinti, Laguna, Philippines</t>
  </si>
  <si>
    <t>Del Pilar Academy</t>
  </si>
  <si>
    <t>Gen. E.Topacio Street</t>
  </si>
  <si>
    <t>CWHQ+9M2, General E Topacio St, Imus, 4103 Cavite, Philippines</t>
  </si>
  <si>
    <t>Dela Paz National High School</t>
  </si>
  <si>
    <t>Ninoy Aquino Avenue, Brgy. Dela Paz</t>
  </si>
  <si>
    <t>10d L. Sumulong Memorial Circle, Antipolo, 1870 Rizal, Philippines</t>
  </si>
  <si>
    <t>DGA Training Institute Inc.</t>
  </si>
  <si>
    <t>Blk 4 Lot 18 Ph I-A Rodriguez Ave.,</t>
  </si>
  <si>
    <t>H4F5+QHM, A. Rodriquez St, Cainta, 1900 Rizal, Philippines</t>
  </si>
  <si>
    <t>Digitech College (Digital Communication and Technological College, Inc.)</t>
  </si>
  <si>
    <t>Purok Agawin Ibabang Dupay, Lucena City, Quezon</t>
  </si>
  <si>
    <t>No. 128, Maharlika Highway, Red-V, Lucena City, 4301 Quezon, Philippines</t>
  </si>
  <si>
    <t>DMMC Institute of Health Sciences</t>
  </si>
  <si>
    <t>#143 Narra St., Mountview Subd., Brgy. 3, Tanauan City, Batangas</t>
  </si>
  <si>
    <t>Mountview Subdivision, 143 Narra St, Barangay 3, Tanauan City, Batangas, Philippines</t>
  </si>
  <si>
    <t>DoÃ±a Francisca Alvarez Rejano Integrated School (Formerly Patabog NHS)</t>
  </si>
  <si>
    <t>Patabog</t>
  </si>
  <si>
    <t>Patabog, Mulanay, Quezon, Philippines</t>
  </si>
  <si>
    <t>DoÃ±a Pilar M. Alberto Integrated High School</t>
  </si>
  <si>
    <t>Dolores Macasaet National High School</t>
  </si>
  <si>
    <t>Pahinga Norte</t>
  </si>
  <si>
    <t>Barangay, Villa Katrina Subdivision, Pahinga Norte, Candelaria, 4323 Quezon, Philippines</t>
  </si>
  <si>
    <t>Dominican College Sta. Rosa</t>
  </si>
  <si>
    <t>San Lorenzo South, Dita, Sta. Rosa City, Laguna</t>
  </si>
  <si>
    <t>RSBS Boulevard, San Lorenzo South, 73JX+JJ5, Balibago, City of Santa Rosa, Laguna, Philippines</t>
  </si>
  <si>
    <t>Don Bosco College</t>
  </si>
  <si>
    <t>Jose Yulo Sr. Blvd., Brgy. Canlubang, Calamba City, Laguna</t>
  </si>
  <si>
    <t>6468+74P, Don Bosco St, Calamba, 4027 Laguna, Philippines</t>
  </si>
  <si>
    <t>Don Bosco Institute of Arts and Sciences Inc.</t>
  </si>
  <si>
    <t>13 J.P. Rizal St., Bayan Walk Arcade, Poblacion</t>
  </si>
  <si>
    <t>Don Jose Integrated High School</t>
  </si>
  <si>
    <t>Don Jose</t>
  </si>
  <si>
    <t>Don Jose Proper, Don Jose, City of Santa Rosa, Laguna, Philippines</t>
  </si>
  <si>
    <t>Don Jose M. Ynares, Sr. Memorial National High School</t>
  </si>
  <si>
    <t>Luisa St.</t>
  </si>
  <si>
    <t>Luisa St, Bagong Bayan, Malolos, Bulacan, Philippines</t>
  </si>
  <si>
    <t>DON MANUEL RIVERA MEMORIAL INTEGRATED NATIONAL HIGH SCHOOL</t>
  </si>
  <si>
    <t>Doongan Ilaya National High School</t>
  </si>
  <si>
    <t>Central 1 Brgy. Doongan Ilaya, Catanauan, Quezon, Philippines</t>
  </si>
  <si>
    <t>Dr. Apolonio M. Lirio NHS</t>
  </si>
  <si>
    <t>Balele, Tanauan City, Batangas</t>
  </si>
  <si>
    <t>Balele, Tanauan City, Batangas, Philippines</t>
  </si>
  <si>
    <t>Dr. Arsenio C. Nicolas Integrated National High School (Formerly Dr. Arsenio C. Nicolas NHS)</t>
  </si>
  <si>
    <t>Pandanan</t>
  </si>
  <si>
    <t>Sitio Balite, Brgy, W884+767, Calauag, Quezon, Philippines</t>
  </si>
  <si>
    <t>Dr. Bonifacio A. Masilungan Integrated National High School</t>
  </si>
  <si>
    <t>Lalayat, San Jose, Batangas</t>
  </si>
  <si>
    <t>Lalayat, San Jose, Batangas, Philippines</t>
  </si>
  <si>
    <t>Dr. Francisco L. Calingasan Memorial Colleges Foundation Inc. - Tuy Campus</t>
  </si>
  <si>
    <t>Rizal Street, Tuy, Batangas</t>
  </si>
  <si>
    <t>2PCH+V4F, Tuy, Batangas, Philippines</t>
  </si>
  <si>
    <t>Dr. Jose P. Rizal SHS</t>
  </si>
  <si>
    <t>Brgy. Sto. Cristo</t>
  </si>
  <si>
    <t>Barangay, 8XQ4+9C5, Dasmariñas, Cavite, Philippines</t>
  </si>
  <si>
    <t>Dr. Juan A. Pastor Integrated National High School</t>
  </si>
  <si>
    <t>Talaibon, Ibaan, Batangas</t>
  </si>
  <si>
    <t>R4HP+P9H, Ibaan, Batangas, Philippines</t>
  </si>
  <si>
    <t>Dr. Maria D. Pastrana National  High School</t>
  </si>
  <si>
    <t>Quezon Street</t>
  </si>
  <si>
    <t>Quezon Ave, Mauban, 4330 Quezon, Philippines</t>
  </si>
  <si>
    <t>Dr. Panfilo Castro NHS (Formerly Bukal Sur NHS-Mangilag Annex)</t>
  </si>
  <si>
    <t>Mangilag Norte</t>
  </si>
  <si>
    <t>WFQ3+44J, Candelaria, Quezon, Philippines</t>
  </si>
  <si>
    <t>Dr. Vivencio B. Villamayor National High School</t>
  </si>
  <si>
    <t>8888 Silver St. Medalva Phase III Brgy. San Isidro, Angono, Rizal</t>
  </si>
  <si>
    <t>G5V5+R9H, Angono, Rizal, Philippines</t>
  </si>
  <si>
    <t>Dr. Vivencio V. Marquez National High School</t>
  </si>
  <si>
    <t>Marquez</t>
  </si>
  <si>
    <t>9GC5+F6F, Ibabang Tayuman, San Francisco (Aurora), Quezon, Philippines</t>
  </si>
  <si>
    <t>Dungawan NHS</t>
  </si>
  <si>
    <t>Dungawan Central</t>
  </si>
  <si>
    <t>Dungawan Central, Guinayangan, Quezon, Philippines</t>
  </si>
  <si>
    <t>E. ZOBEL FOUNDATION, INC.</t>
  </si>
  <si>
    <t>Barangay Gulod</t>
  </si>
  <si>
    <t>Gulod, Cabuyao City, Laguna, Philippines</t>
  </si>
  <si>
    <t>East Systems Colleges of Rizal</t>
  </si>
  <si>
    <t>J. Pascual St., San Pedro, Morong, Rizal</t>
  </si>
  <si>
    <t>J. Pascual Street, San Pedro, G65R+VPM, Morong, 1960 Rizal, Philippines</t>
  </si>
  <si>
    <t>Eastern Innovative School of Science and Technology, Inc.</t>
  </si>
  <si>
    <t>8021 Felix Avenue</t>
  </si>
  <si>
    <t>1900 Felix Ave, Pasig, 1900 Rizal, Philippines</t>
  </si>
  <si>
    <t>Eastern Tayabas College</t>
  </si>
  <si>
    <t>Rosario</t>
  </si>
  <si>
    <t>Rosario, Cavite, Philippines</t>
  </si>
  <si>
    <t>EASTERN VALLEY SCHOOL INC.</t>
  </si>
  <si>
    <t>429 Cacho St. Balite, Rodriguez, Rizal</t>
  </si>
  <si>
    <t>P4MW+C8R, 44 J. P. Rizal St, Balite, Rodriguez, 1860 Rizal, Philippines</t>
  </si>
  <si>
    <t>Eduardo Barretto, Sr. Integrated School</t>
  </si>
  <si>
    <t>143 Jalandoni St. Pansol Calamba City</t>
  </si>
  <si>
    <t>143 Jalandoni St, Calamba, 4027 Laguna, Philippines</t>
  </si>
  <si>
    <t>EDUSTRIA INCORPORATED</t>
  </si>
  <si>
    <t>Blk Q, R, S &amp; T, Lima Technology Center</t>
  </si>
  <si>
    <t>The Outlets, LIMA Technology Center, Lipa City, Batangas, Philippines</t>
  </si>
  <si>
    <t>EL ROYALE HOTELIER TRAINING CENTER INC.</t>
  </si>
  <si>
    <t>Quezon Avenue corner Trinidad St.</t>
  </si>
  <si>
    <t>City of Tayabas, 4327 Quezon, Philippines</t>
  </si>
  <si>
    <t>Elias A. Salvador NHS</t>
  </si>
  <si>
    <t>Salvador St.</t>
  </si>
  <si>
    <t>Salvador St, Cebu City, 6000 Cebu, Philippines</t>
  </si>
  <si>
    <t>Elizabeth Seton School</t>
  </si>
  <si>
    <t>Anabu II-D, Imus City, Cavite</t>
  </si>
  <si>
    <t>82 Anabu Kostal Rd Anabu 2 C Anabu Kostal Rd, Anabu 2 C, Imus, 4103 Cavite, Philippines</t>
  </si>
  <si>
    <t>Emilia Ambalada Poblete Integrated High School</t>
  </si>
  <si>
    <t>Camia St., Mary Ann Village</t>
  </si>
  <si>
    <t>Emiliano Tria Tirona Memorial National Integrated High School</t>
  </si>
  <si>
    <t>213 Daang Bakal St, Kawit, 4104 Cavite, Philippines</t>
  </si>
  <si>
    <t>Emilio Aguinaldo College-Cavite</t>
  </si>
  <si>
    <t>Gov. D. Mangubat Ave. Brgy. Burol Main, DasmariÃ±as City, Cavite</t>
  </si>
  <si>
    <t>Burol, Dasmariñas, Cavite, Philippines</t>
  </si>
  <si>
    <t>Emilio V. Quizon National High School</t>
  </si>
  <si>
    <t>Sitio Tubigan, Brgy. Talisay, San Andes, Quezon</t>
  </si>
  <si>
    <t>San Andres, Quezon, Philippines</t>
  </si>
  <si>
    <t>EMMANUEL JOHN INSTITUTE OF SCIENCE &amp; TECHNOLOGY (RIZAL) INC.</t>
  </si>
  <si>
    <t>Sitio Bulacan I</t>
  </si>
  <si>
    <t>F8C8+XG7, Bulacan Street 1, Bagumbayan, Pililla, Rizal, Philippines</t>
  </si>
  <si>
    <t>Emmanuel Resurreccion Congressional Integrated High School</t>
  </si>
  <si>
    <t>Poinsettia Street, Via Verde Village</t>
  </si>
  <si>
    <t>EMMANUELA JANE INSTITUTE OF SCIENCE &amp; TECHNOLOGY INC.</t>
  </si>
  <si>
    <t>Sitio Tibagan, Brgy. San Jose, Antipolo City</t>
  </si>
  <si>
    <t>Block 2 Sitio Parugan, Antipolo, 1870 Rizal, Philippines</t>
  </si>
  <si>
    <t>English Christian Academy (San Jose)</t>
  </si>
  <si>
    <t>Block 171 Lot 11 All Spice Road, Robinsons Homes East Subd., San Jose, Antipolo City</t>
  </si>
  <si>
    <t>block 171, 11 Allspice Road, Antipolo, 1870 Lalawigan ng Rizal, Philippines</t>
  </si>
  <si>
    <t>Escuela Secondaria SeÃ±or de Salinas</t>
  </si>
  <si>
    <t>Greenfields Subd., Bagbag I</t>
  </si>
  <si>
    <t>Greenfields Subd., Bagbag I, Rosario, Cavite, Philippines</t>
  </si>
  <si>
    <t>ESRA Technical Training Foundation Inc.</t>
  </si>
  <si>
    <t>J.P. Rizal St., Rizal Technopark 2000</t>
  </si>
  <si>
    <t>Rizal Technopark Subdivision, 2000 Don Macario Javier, Taytay, 1920 Rizal, Philippines</t>
  </si>
  <si>
    <t>Estanislao Perlas National High School</t>
  </si>
  <si>
    <t>Tagabas Ibaba</t>
  </si>
  <si>
    <t>J7JG+G7X, Unnamed Road, Catanauan, Quezon, Philippines</t>
  </si>
  <si>
    <t>Evaristo R. Macalintal MNHS (Formerly Cometa NHS)</t>
  </si>
  <si>
    <t>Cometa</t>
  </si>
  <si>
    <t>24HC+P3M, Cometa, Quezon, 4332 Quezon, Philippines</t>
  </si>
  <si>
    <t>Fame Academy of Science &amp; Technology (FAST)</t>
  </si>
  <si>
    <t>Calle A Delas Alas ZONE 5</t>
  </si>
  <si>
    <t>Fame Academy of Science &amp; Technology (FAST), Inc.</t>
  </si>
  <si>
    <t>Calle A. Delas Alas, Zone 5, Taal, Batangas</t>
  </si>
  <si>
    <t>VWH9+7RX, Calle Antonio De Las Alas, Taal, Batangas, Philippines</t>
  </si>
  <si>
    <t>Famy National Integrated High School</t>
  </si>
  <si>
    <t>Asana &amp;amp; Tunhac, CFQ2+79V, Famy, Laguna, Philippines</t>
  </si>
  <si>
    <t>Far East Asia Pacific Institute of Tourism Science and Technology</t>
  </si>
  <si>
    <t>2nd Flr., Jackson Heights Bldg., Daang Amaya, Tanza, Cavite</t>
  </si>
  <si>
    <t>Jackson Heights Building, Tanza - Trece Martires Rd, Tanza, 4108 Cavite, Philippines</t>
  </si>
  <si>
    <t>Far Eastern Polytechnic College</t>
  </si>
  <si>
    <t>Santa Lucia, DBB1, DasmariÃ±as City, Cavite</t>
  </si>
  <si>
    <t>8XM3+WMX, Carlos Trinidad Ave, Dasmariñas, 4114 Cavite, Philippines</t>
  </si>
  <si>
    <t>FCD CENTRAL INSTITUTE INCORPORATED</t>
  </si>
  <si>
    <t>15 Miguel St., Brgy. II-E, San Pablo City</t>
  </si>
  <si>
    <t>FEAPITSAT College of DasmariÃ±as  Inc.</t>
  </si>
  <si>
    <t>Mangubat Ave., DasmariÃ±as City Cavite</t>
  </si>
  <si>
    <t>8WGM+VQ3, D. Mangubat St, Dasmariñas, 4114 Cavite, Philippines</t>
  </si>
  <si>
    <t>FEAPITSAT COLLEGE OF MARAGONDON INC.</t>
  </si>
  <si>
    <t>Polar Building Riel St.,</t>
  </si>
  <si>
    <t>Maragondon, Cavite, Philippines</t>
  </si>
  <si>
    <t>FEAPITSAT Colleges, Inc.</t>
  </si>
  <si>
    <t>Overland Bldg.</t>
  </si>
  <si>
    <t>JIM Building, Daang Amaya I, Tanza, 4108 Cavite, Philippines</t>
  </si>
  <si>
    <t>Felix Amante Senior High School</t>
  </si>
  <si>
    <t>Brgy. San Ignacio</t>
  </si>
  <si>
    <t>387W+3VR, San Pablo City, Laguna, Philippines</t>
  </si>
  <si>
    <t>Fernando Air Base Integrated National High School</t>
  </si>
  <si>
    <t>X43M+GGM Basilio Fernando Air Base, MP Casanova St, Tambo, Lipa City, 4217 Batangas, Philippines</t>
  </si>
  <si>
    <t>FIRST INDUSTRIAL SCIENCE AND TECHNOLOGY COLLEGE, INC.</t>
  </si>
  <si>
    <t>Building FPIP</t>
  </si>
  <si>
    <t>3rd floor Oasis building, First Philippine Industrial Park R.S. Diaz avenue, Brgy. Sta. Anastacia, Santo Tomas, 4234 Batangas, Philippines</t>
  </si>
  <si>
    <t>Five Star Standard College, Inc.</t>
  </si>
  <si>
    <t>Aguinaldo Highway,3F Conrado Commercial Complex</t>
  </si>
  <si>
    <t>3/F, Conrado Commercial Complex, Emilio Aguinaldo Hwy, Niog 1, Bacoor, 4102 Cavite, Philippines</t>
  </si>
  <si>
    <t>FMS INSTITUTION INCORPORATED</t>
  </si>
  <si>
    <t>44 Canlaon St. Amityville Subd., San Jose, Rodriguez</t>
  </si>
  <si>
    <t>44 Canlaon St, Amityville, Rodriguez, 1860 Rizal, Philippines</t>
  </si>
  <si>
    <t>Francisco E. Barzaga Integrated High School</t>
  </si>
  <si>
    <t>Lagmay Compound, Medina Ville, Brgy. San Jose</t>
  </si>
  <si>
    <t>San Jose, Occidental Mindoro, Philippines</t>
  </si>
  <si>
    <t>Francisco Osorio Integrated Senior High School</t>
  </si>
  <si>
    <t>7VRJ+P4W, Trece Martires City, Cavite, Philippines</t>
  </si>
  <si>
    <t>Francisco P. Tolentino Integrated High School</t>
  </si>
  <si>
    <t>Lagusan Drive</t>
  </si>
  <si>
    <t>4XJG+MCQ, Lagusan Dr, Tagaytay City, Cavite, Philippines</t>
  </si>
  <si>
    <t>Frere (Saint) Benilde Romancon Education Foundation (De La Salle University-DasmariÃ±as), Inc</t>
  </si>
  <si>
    <t>West Ave., City of DasmariÃ±as</t>
  </si>
  <si>
    <t>Full Aces International School for Skills and Technical Development. Inc.</t>
  </si>
  <si>
    <t>FAIS Bldg., Moonstone Ave., Centennial Town Plaza, Kawit, Cavite</t>
  </si>
  <si>
    <t>Centennial Town Plaza, Moonstone Ave, Kawit, 4104 Cavite, Philippines</t>
  </si>
  <si>
    <t>Galalan Integrated National High School</t>
  </si>
  <si>
    <t>D.V. Manzana Avenue, Brgy. Galalan, Pangil, Laguna</t>
  </si>
  <si>
    <t>CGV4+65, Pangil, Laguna, Philippines</t>
  </si>
  <si>
    <t>Gardner College Cainta, Inc.</t>
  </si>
  <si>
    <t>RDS Bldg., Felix Ave., Brgy. San Isidro, Cainta, Rizal</t>
  </si>
  <si>
    <t>Felix Ave, Philippines</t>
  </si>
  <si>
    <t>Gateways Institute of Science and Technology (GIST) - Antipolo</t>
  </si>
  <si>
    <t>GIST Bldg., #83 Marcos Highway, Barangay Bagong Nayon 1, Cogeo, Antipolo City</t>
  </si>
  <si>
    <t>83 Marikina-Infanta Hwy, Antipolo, 1870 Rizal, Philippines</t>
  </si>
  <si>
    <t>Gaudencio M. Sangalang Academy, Inc.</t>
  </si>
  <si>
    <t>Perez St.</t>
  </si>
  <si>
    <t>M5QC+8QQ, General Luna, Quezon, Philippines</t>
  </si>
  <si>
    <t>Gaudencio Octavio Integrated High School</t>
  </si>
  <si>
    <t>Bagumbayan</t>
  </si>
  <si>
    <t>GC6M+5R7, Bagumbayan, Santa Maria, Laguna, Philippines</t>
  </si>
  <si>
    <t>Gen. Emilio Aguinaldo-Bailen Integrated School</t>
  </si>
  <si>
    <t>Lirio St.</t>
  </si>
  <si>
    <t>General Emilio Aguinaldo, Cavite, Philippines</t>
  </si>
  <si>
    <t>Gen. Flaviano Yengko Senior High School</t>
  </si>
  <si>
    <t>Blk 7 Lot 66-68 Phase 11A Dama de Noche St.</t>
  </si>
  <si>
    <t>Gen. Juan CastaÃ±eda Senior High School</t>
  </si>
  <si>
    <t>090 Anabu II-A Imus City</t>
  </si>
  <si>
    <t>Anabu II-A, Imus, Cavite, Philippines</t>
  </si>
  <si>
    <t>Gen. Mariano Alvarez Technology High School</t>
  </si>
  <si>
    <t>688 Congresional Ave.</t>
  </si>
  <si>
    <t>General Mariano Alvarez, Cavite, Philippines</t>
  </si>
  <si>
    <t>Gen. Pantaleon Garcia Senior High School</t>
  </si>
  <si>
    <t>PEDRO REYES ST. MALAGASANG I-G</t>
  </si>
  <si>
    <t>Pedro Reyes St., Imus, Cavite, Philippines</t>
  </si>
  <si>
    <t>Gen. Vito Belarmino Integrated National High School</t>
  </si>
  <si>
    <t>Silang-Banaybanay Rd.</t>
  </si>
  <si>
    <t>Silang-Banaybanay Rd, Silang, Cavite, Philippines</t>
  </si>
  <si>
    <t>General Luna Integrated National High School</t>
  </si>
  <si>
    <t>New Municipal Complex</t>
  </si>
  <si>
    <t>General Luna, Surigao del Norte, Philippines</t>
  </si>
  <si>
    <t>Genesis Colleges, Inc.</t>
  </si>
  <si>
    <t>C. Lawis Extension</t>
  </si>
  <si>
    <t>C. Lawis Ext, San Isidro, Antipolo, 1870 Rizal, Philippines</t>
  </si>
  <si>
    <t>Gloria Umali Integrated NHS</t>
  </si>
  <si>
    <t>Ayusan II</t>
  </si>
  <si>
    <t>W7WV+6X9, Tiaong, Quezon, Philippines</t>
  </si>
  <si>
    <t>Godofredo M. Tan Memorial Integrated School of Arts and Trades (Formerly San Narciso Voc. HS)</t>
  </si>
  <si>
    <t>San Andres Road</t>
  </si>
  <si>
    <t>San Narciso, Quezon, Philippines</t>
  </si>
  <si>
    <t>GOV. ANACLETO C. ALCALA NATIONAL HIGH SCHOOL</t>
  </si>
  <si>
    <t>Concepcion, Banahaw</t>
  </si>
  <si>
    <t>XFM9+V3G, Concepcion Banahaw, Sariaya, Quezon, Philippines</t>
  </si>
  <si>
    <t>Gov. Felicisimo T. San Luis Integrated Senior High School</t>
  </si>
  <si>
    <t>Laguna Sports Complex</t>
  </si>
  <si>
    <t>7C43+XX5 RECS Village, Santa Cruz, Laguna, Philippines</t>
  </si>
  <si>
    <t>GOV. FELICISIMO T. SAN LUIS NATIONAL AGRO-INDUSTRIAL INTEGRATED HIGH SCHOOL</t>
  </si>
  <si>
    <t>Kapatalan</t>
  </si>
  <si>
    <t>FGP2+383, Siniloan, 4019 Laguna, Philippines</t>
  </si>
  <si>
    <t>Gov. Ferrer Memorial Integrated National High School</t>
  </si>
  <si>
    <t>Gov. Ferrer Memorial High School - Main Campus, Prinza St, General Trias, 4107 Cavite, Philippines</t>
  </si>
  <si>
    <t>Gov. Isidro Rodriguez, Sr. Memorial National High School</t>
  </si>
  <si>
    <t>Resurrection St. , St. Gregory Subdivision</t>
  </si>
  <si>
    <t>Gov. Juanito Reyes Remulla Senior High School</t>
  </si>
  <si>
    <t>TOCLONG II-B</t>
  </si>
  <si>
    <t>CWRH+8JP, Imus, Cavite, Philippines</t>
  </si>
  <si>
    <t>Grant Institute of Trade and Technology</t>
  </si>
  <si>
    <t>Greenvalley Subd., Brgy. San Jose, San Pablo City, Laguna</t>
  </si>
  <si>
    <t>387P+C3G, Narra, San Pablo City, Laguna, Philippines</t>
  </si>
  <si>
    <t>GREATLAND SCHOOL OF SAN PEDRO LAGUNA INC.</t>
  </si>
  <si>
    <t>Blk 23 Lot 16 Flamingo St., Ph 1</t>
  </si>
  <si>
    <t>blk 23, 16 Flamingo St, San Pedro, Laguna, Philippines</t>
  </si>
  <si>
    <t>Greenfield Montessori School - Tanay</t>
  </si>
  <si>
    <t>E. Rodriguez Ave., Brgy. Katipunan Bayani, Tanay, Rizal</t>
  </si>
  <si>
    <t>G73P+RXH, E. Rodriguez Ave. St., Tanay, Rizal, Philippines</t>
  </si>
  <si>
    <t>Gregorio Reyes NHS</t>
  </si>
  <si>
    <t>Villa Reyes</t>
  </si>
  <si>
    <t>Villa Reyes, San Narciso, Quezon, Philippines</t>
  </si>
  <si>
    <t>Guardians Bona Fide for Hope Foundation</t>
  </si>
  <si>
    <t>B2 L33 Brgy. Calabuso, Biñan City, Laguna</t>
  </si>
  <si>
    <t>Blk 3 Lot 33-34, Adelina Complex 3 Ext, Santo Tomas (Calabuso), Biñan, 4024 Laguna, Philippines</t>
  </si>
  <si>
    <t>Guinayangan Academy</t>
  </si>
  <si>
    <t>Matta Molines Street</t>
  </si>
  <si>
    <t>VFW3+V2P, Tupas Matta Molines St, Guinayangan, Quezon, Philippines</t>
  </si>
  <si>
    <t>Guinayangan College Foundation Inc.</t>
  </si>
  <si>
    <t>Brgy. Sisi, Guinayangan, Quezon</t>
  </si>
  <si>
    <t>WC9M+HGV, Guinayangan, Quezon, Philippines</t>
  </si>
  <si>
    <t>Guinayangan Senior High School</t>
  </si>
  <si>
    <t>Bliss Site, Brgy. Sisi</t>
  </si>
  <si>
    <t>BLISS SITE, BRGY. SISI Guinayangan Guinayangan, Quezon, Guinayangan, 4319 Quezon Province, Philippines</t>
  </si>
  <si>
    <t>Guites NHS</t>
  </si>
  <si>
    <t>Guites</t>
  </si>
  <si>
    <t>Guites, Lopez, Quezon, Philippines</t>
  </si>
  <si>
    <t>Gulang-gulang National High School</t>
  </si>
  <si>
    <t>WJV5+C65, Gulang-gulang, Lucena City, 4301 Quezon, Philippines</t>
  </si>
  <si>
    <t>Gulod Senior High School</t>
  </si>
  <si>
    <t>Gulod Itaas</t>
  </si>
  <si>
    <t>Q36M+X27, Batangas City, Batangas, Philippines</t>
  </si>
  <si>
    <t>Gumaca Integrated School</t>
  </si>
  <si>
    <t>Inaclagan</t>
  </si>
  <si>
    <t>W2VW+9H4, National Highway, Gumaca, 4307 Quezon, Philippines</t>
  </si>
  <si>
    <t>Gumaca National High School</t>
  </si>
  <si>
    <t>Mabini Street, Brgy. Mabini</t>
  </si>
  <si>
    <t>Gumaca, Quezon, Philippines</t>
  </si>
  <si>
    <t>Hagonghong Integrated HS</t>
  </si>
  <si>
    <t>Hagonghong</t>
  </si>
  <si>
    <t>MFFC+GGM, Hagonghong, Buenavista, Quezon, Philippines</t>
  </si>
  <si>
    <t>Halang Banaybanay Integrated School</t>
  </si>
  <si>
    <t>Banaybanay, Davao Oriental, Philippines</t>
  </si>
  <si>
    <t>HANKUK DREAM HIGH CHRISTIAN SCHOOL INC.</t>
  </si>
  <si>
    <t>Ph 3 Blk 324 Lot 14 Metrogate</t>
  </si>
  <si>
    <t>Barangay 324, Santa Cruz, Manila, Metro Manila, Philippines</t>
  </si>
  <si>
    <t>Hankuk Educational Foundation, Inc.</t>
  </si>
  <si>
    <t>Block 3-4 Lot 1 C. Lawis Extension</t>
  </si>
  <si>
    <t>208 C. Lawis Ext, Antipolo, 1870 Rizal, Philippines</t>
  </si>
  <si>
    <t>Hinguiwin National High School</t>
  </si>
  <si>
    <t>Hinguiwin</t>
  </si>
  <si>
    <t>XR2C+3V3, Quezon, Philippines</t>
  </si>
  <si>
    <t>Holy Angels Learning School Inc.</t>
  </si>
  <si>
    <t>Molave St., Southern Hts. 2-A</t>
  </si>
  <si>
    <t>15 Molave St, San Pedro, Laguna, Philippines</t>
  </si>
  <si>
    <t>Holy Cross Academy of Padre Burgos, Inc.</t>
  </si>
  <si>
    <t>Brgy, WR88+F2F, Pagbilao, Quezon, Philippines</t>
  </si>
  <si>
    <t>Holy Face of Jesus Lyceum of San Jose Inc.</t>
  </si>
  <si>
    <t>285 Mabolo St., cor. Sampaguita St., San Jose, Rodriguez, Rizal</t>
  </si>
  <si>
    <t>Rodriguez, Rizal, Philippines</t>
  </si>
  <si>
    <t>Holy Family Academy</t>
  </si>
  <si>
    <t>Banaba, Padre Garcia, Batangas</t>
  </si>
  <si>
    <t>Holy Family Academy, Banaba, Padre Garcia, Batangas, Philippines</t>
  </si>
  <si>
    <t>Holy Trinity School of Padre Garcia - Mataasnakahoy Branch, Inc.</t>
  </si>
  <si>
    <t>V. Templo St., Poblacion, Mataasnakahoy, Batangas</t>
  </si>
  <si>
    <t>X448+R73, Mataas Na Kahoy, Batangas, Philippines</t>
  </si>
  <si>
    <t>Holy Trinity School of Science and Technology Inc.</t>
  </si>
  <si>
    <t>National Road San Carlos</t>
  </si>
  <si>
    <t>San Carlos City, Negros Occidental, Philippines</t>
  </si>
  <si>
    <t>Hondagua NHS</t>
  </si>
  <si>
    <t>Hondagua</t>
  </si>
  <si>
    <t>Hondagua, Lopez, Quezon, Philippines</t>
  </si>
  <si>
    <t>Hondagua Port High Schol</t>
  </si>
  <si>
    <t>W6XR+7P9, Lopez, 4316 Quezon, Philippines</t>
  </si>
  <si>
    <t>Hulo National High School</t>
  </si>
  <si>
    <t>Sitio Ligua</t>
  </si>
  <si>
    <t>Administration Building, Gen. Kalentong, Mandaluyong City, 1550 Metro Manila, Philippines</t>
  </si>
  <si>
    <t>Huyon-Uyon National High School</t>
  </si>
  <si>
    <t>Sitio Mabuhay 1</t>
  </si>
  <si>
    <t>Huyon-Uyon, San Francisco (Aurora), Quezon, Philippines</t>
  </si>
  <si>
    <t>Hyong Yang Institute of Technology Inc.,</t>
  </si>
  <si>
    <t>8 Enriquez Street</t>
  </si>
  <si>
    <t>88 Enriquez St, Lucena City, 4301 Quezon, Philippines</t>
  </si>
  <si>
    <t>Ibabang Talim Integrated High School</t>
  </si>
  <si>
    <t>Purok Masayahin, Brgy. Ibabang Talim</t>
  </si>
  <si>
    <t>Purok Masayahin, Brgy, WH5J+X88, Lucena City, 4301 Quezon, Philippines</t>
  </si>
  <si>
    <t>Ibayiw Integrated National High School</t>
  </si>
  <si>
    <t>071 Francisco Fule, Alaminos, Laguna, Philippines</t>
  </si>
  <si>
    <t>ICCT Colleges Foundation, Inc. - Antipolo Campus</t>
  </si>
  <si>
    <t>J. Sumulong Street</t>
  </si>
  <si>
    <t>J. Sumulong Street, Antipolo, 1870 Rizal, Philippines</t>
  </si>
  <si>
    <t>ICCT Colleges Foundation, Inc. - Cogeo Campus</t>
  </si>
  <si>
    <t>Forest Hills Road cor. Marcos Highway Ext., Cogeo</t>
  </si>
  <si>
    <t>ICCT Colleges, 146 National Rd, Binangonan, 1940 Rizal, Philippines</t>
  </si>
  <si>
    <t>ICCT Colleges Foundation, Inc.-Angono Campus</t>
  </si>
  <si>
    <t>Manila East Road, Brgy. San Roque, Angono, Rizal</t>
  </si>
  <si>
    <t>ICCT Colleges Foundation, Inc.-Binangonan Campus</t>
  </si>
  <si>
    <t>National Hi-way, Brgy. Calumpang, Binangonan, Rizal</t>
  </si>
  <si>
    <t>ICCT Colleges Foundation, Inc.-Cainta</t>
  </si>
  <si>
    <t>V.V. Soliven Avenue II, Cainta, Rizal</t>
  </si>
  <si>
    <t>ICCT Bldg, 2 V.V. Soliven Ave II, Cainta, 1900 Rizal, Philippines</t>
  </si>
  <si>
    <t>ICCT Colleges Foundation, Inc.-San Mateo Campus</t>
  </si>
  <si>
    <t>General Luna Road cor. Resurrecsion St., Brgy. Sta. Ana, San Mateo, Rizal</t>
  </si>
  <si>
    <t>M4V8+3Q9, Gen. Luna Ave, Barangay Santa Ana, San Mateo, 1850 Rizal, Philippines</t>
  </si>
  <si>
    <t>ICCT Colleges Foundation, Inc.-Sumulong Campus</t>
  </si>
  <si>
    <t>Sumulong Hi-way, Brgy. San Isidro, Cainta, Rizal</t>
  </si>
  <si>
    <t>J4M5+C95, Sumulong Hwy, Cainta, 1900 Rizal, Philippines</t>
  </si>
  <si>
    <t>ICCT Colleges Foundation, Inc.-Taytay Campus</t>
  </si>
  <si>
    <t>Cabrera Road cor. Manila East Road, Brgy, San Juan, Taytay, Rizal</t>
  </si>
  <si>
    <t>H45P+5QV, 128 Cabrera Rd, Taytay, 1920 Rizal, Philippines</t>
  </si>
  <si>
    <t>ICT-ED INSTITUTE  OF SCIENCE AND TECHNOLOGY INC.</t>
  </si>
  <si>
    <t>Barangay Pinagkawitan, Lipa City</t>
  </si>
  <si>
    <t>Dante V. Andal Bldg Along, Tiaong - Lipa Rd, Pinagkawitan, Lipa City, 4217 Batangas, Philippines</t>
  </si>
  <si>
    <t>ICT-ED Institute of Science and Technology</t>
  </si>
  <si>
    <t>Mercedes Bldg., P. Torres St., Brgy. Otso, Lipa City, Batangas</t>
  </si>
  <si>
    <t>IETI College of Science and Technology</t>
  </si>
  <si>
    <t>3F MMG Bldg., USPS, National Highway</t>
  </si>
  <si>
    <t>161 R. Magsaysay Ave, San Pedro, 4023 Metro Manila, Philippines</t>
  </si>
  <si>
    <t>IKON COLLEGE-Calamba, Inc.</t>
  </si>
  <si>
    <t>9140 Cadena de Amor St., Dolor Subd., Brgy. Uno, Poblacion, Crossing, Calamba City</t>
  </si>
  <si>
    <t>6534+CH5, Cadena de Amor, Real, Calamba, 4027 Laguna, Philippines</t>
  </si>
  <si>
    <t>Ilayang Ilog-A NHS (Formerly San Francisco B NHS Ilayang Ilog A Ext.)</t>
  </si>
  <si>
    <t>Ilayang Ilog A</t>
  </si>
  <si>
    <t>Ilayang Ilog A, Lopez, Quezon, Philippines</t>
  </si>
  <si>
    <t>Ilayang Yuni Junior and Senior Integrated NHS</t>
  </si>
  <si>
    <t>Ilayang Yuni</t>
  </si>
  <si>
    <t>FG3F+F72, Mulanay, Quezon, Philippines</t>
  </si>
  <si>
    <t>IMMACULATE COLLEGE OF CAVITE INC.</t>
  </si>
  <si>
    <t>2nd Floor, Maria Salud Building, E. Aguinaldo Highway, Panapaan VI, Bacoor City</t>
  </si>
  <si>
    <t>2nd Flr. Maria Salud, Brgy, Bldg. E Emilio Aguinaldo Hwy, P.F. Espiritu VI, Bacoor, 4102 Cavite, Philippines</t>
  </si>
  <si>
    <t>Immaculate Concepcion Catholic School</t>
  </si>
  <si>
    <t>P. Guevarra St., Brgy Polblacion 3, Sta Cruz, Laguna</t>
  </si>
  <si>
    <t>Santa Cruz, Laguna, Philippines</t>
  </si>
  <si>
    <t>Immaculate Conception Academy-West Campus</t>
  </si>
  <si>
    <t>Amuntay Road</t>
  </si>
  <si>
    <t>8WCM+QF5, Dasmariñas, Cavite, Philippines</t>
  </si>
  <si>
    <t>Immaculate Heart of Mary School</t>
  </si>
  <si>
    <t>Avocado St., Guevara Subd., Pacita 2, Brgy. San Vicente, City of San Pedro, Laguna</t>
  </si>
  <si>
    <t>16 Durian Road, San Pedro, Laguna, Philippines</t>
  </si>
  <si>
    <t>Indang Integrated National High School</t>
  </si>
  <si>
    <t>J. Dimabiling St.</t>
  </si>
  <si>
    <t>J. Dimabiling Street, Barangay 4, Indang, Cavite, Philippines</t>
  </si>
  <si>
    <t>Infant Jesus Academy of Silang, Inc.</t>
  </si>
  <si>
    <t>J.P. Rizal St., Silang, Cavite</t>
  </si>
  <si>
    <t>6XFF+JXR, Silang, Cavite, Philippines</t>
  </si>
  <si>
    <t>Infanta NHS</t>
  </si>
  <si>
    <t>Ruanto St. Pob. 38</t>
  </si>
  <si>
    <t>Infanta, Quezon, Philippines</t>
  </si>
  <si>
    <t>INFORMATICS COLLEGE CAVITE, INC.</t>
  </si>
  <si>
    <t>Informatics Building, Km. 21 Anabu I-E, Imus City</t>
  </si>
  <si>
    <t>Km. 21, Informatics Building Emilio Aguinaldo Highway, Anabu 1-E Aguinaldo Hi-way, Imus Cavite City, Imus, Cavite, Philippines</t>
  </si>
  <si>
    <t>Informatics College Cavite, Inc. (fomerly Informatics Computer Institute Cavite Center, Inc.)</t>
  </si>
  <si>
    <t>Informatics Building, Aguinaldo Highway, Anabu 1-E, Imus Cavite</t>
  </si>
  <si>
    <t>9WRR+V2C, 1e Emilio Aguinaldo Hwy, Imus, Cavite, Philippines</t>
  </si>
  <si>
    <t>INFOTAB TECHNOLOGY INSTITUTE, INCORPORATED</t>
  </si>
  <si>
    <t>Maharlika Highway, Purok Ilang-Ilang</t>
  </si>
  <si>
    <t>WHXP+795, Lucena City, 4301 Quezon, Philippines</t>
  </si>
  <si>
    <t>INFOTECH COLLEGE OF ARTS &amp; SCIENCES PHILIPPINES, INC.</t>
  </si>
  <si>
    <t>4/F 4A &amp; 4B Rafael Tower, 102 Plaza, Pagrai</t>
  </si>
  <si>
    <t>J4GW+845, Marikina-Infanta Hwy, Antipolo, 1870 Rizal, Philippines</t>
  </si>
  <si>
    <t>Innovatech Skills &amp; Resource Institute Inc.</t>
  </si>
  <si>
    <t>#238 San Jose St.,</t>
  </si>
  <si>
    <t>238 San Jose St, Antipolo, 1870 Rizal, Philippines</t>
  </si>
  <si>
    <t>Inosloban-Marawoy Integrated National High School</t>
  </si>
  <si>
    <t>Marawoy</t>
  </si>
  <si>
    <t>Lipa City, Batangas, Philippines</t>
  </si>
  <si>
    <t>Integrated School of Lawa</t>
  </si>
  <si>
    <t>Purok 5 Brgy. Lawa</t>
  </si>
  <si>
    <t>645R+8FH, Unnamed Road, Calamba, 4027 Laguna, Philippines</t>
  </si>
  <si>
    <t>Inter-Global College Foundation, Inc.</t>
  </si>
  <si>
    <t>Brgy. Bocohan, Lucena City</t>
  </si>
  <si>
    <t>XH4R+XV3 Barangay, Iyam, Lucena City, 4301 Quezon, Philippines</t>
  </si>
  <si>
    <t>International Electronics and Technical Institute (BiÃ±an), Inc.</t>
  </si>
  <si>
    <t>Caridad Mendoza Business Center, Km. 33  National Highway, Sto. Domingo BiÃ±an, Laguna</t>
  </si>
  <si>
    <t>Caridad Mendoza Business Center, KM 33 Manila S Rd, Sto. Domingo, Biñan, 4204 Cavite, Philippines</t>
  </si>
  <si>
    <t>International Electronics and Technical Institute (Calamba), Inc.</t>
  </si>
  <si>
    <t>IETI Bldg. No. 32 LE Burgos St., Brgy. San Jose , Calamba City, Laguna</t>
  </si>
  <si>
    <t>IETI Bldg. No. 32 LE Burgos Street, Brgy San Jose Rd, Calamba, 4027 Laguna, Philippines</t>
  </si>
  <si>
    <t>International Electronics and Technical Institute, Inc.-Imus</t>
  </si>
  <si>
    <t>SC Realty Bldg., E. Aguinaldo Hi-way, Tanzang Luma III, Imus, Cavite</t>
  </si>
  <si>
    <t>CW9R+WG3, Emilio Aguinaldo Hwy, Imus, 4103 Cavite, Philippines</t>
  </si>
  <si>
    <t>International Peace Leadership College, Inc.</t>
  </si>
  <si>
    <t>Mayagay I, Sampaloc</t>
  </si>
  <si>
    <t>H9H6+GR7, Tanay, Rizal, Philippines</t>
  </si>
  <si>
    <t>International School for Hotel and Restaurant Management (ISHRM)-DasmariÃ±as Branch</t>
  </si>
  <si>
    <t>EVY Commercial Building, cor. Salawag and Molino Rd., DasmariÃ±as, Cavite</t>
  </si>
  <si>
    <t>ISHRM School System, Inc.</t>
  </si>
  <si>
    <t>Tirona Highway</t>
  </si>
  <si>
    <t>IV A - Southern Tagalog, Bacoor, 4102 Cavite, Philippines</t>
  </si>
  <si>
    <t>Islamic Studies, Call and Guidance School</t>
  </si>
  <si>
    <t>Salitran I</t>
  </si>
  <si>
    <t>Salitran I, Dasmariñas, Cavite, Philippines</t>
  </si>
  <si>
    <t>iTechnological Institute, Inc.</t>
  </si>
  <si>
    <t>3rd Flr., SS Abutin Bldg., 248, Gen. Trias Drive, Rosario, Cavite</t>
  </si>
  <si>
    <t>248 General Trias Dr, Tejeros Convention, Rosario, 4106 Cavite, Philippines</t>
  </si>
  <si>
    <t>Itlugan Integrated National High School</t>
  </si>
  <si>
    <t>Itlugan, Rosario, Batangas</t>
  </si>
  <si>
    <t>Itlugan, Rosario, Batangas, Philippines</t>
  </si>
  <si>
    <t>J. Santiago Integrated High School</t>
  </si>
  <si>
    <t>Brgy. Santiago</t>
  </si>
  <si>
    <t>HC7R+8H4, Tanay, 4022 Rizal, Philippines</t>
  </si>
  <si>
    <t>Jacinto G. Esplana National High School</t>
  </si>
  <si>
    <t>Ilayang Tayuman</t>
  </si>
  <si>
    <t>CG88+6WQ, San Francisco (Aurora), Quezon, Philippines</t>
  </si>
  <si>
    <t>Jalajala National High School</t>
  </si>
  <si>
    <t>M. Bellin Jr. St.</t>
  </si>
  <si>
    <t>Jala Jala Elementary School, Jala-jala, 1990 Rizal, Philippines</t>
  </si>
  <si>
    <t>Janosa National High School</t>
  </si>
  <si>
    <t>Janosa</t>
  </si>
  <si>
    <t>9629+XJR, Binangonan, 1940 Rizal, Philippines</t>
  </si>
  <si>
    <t>Jaybanga Integrated National High School</t>
  </si>
  <si>
    <t>Jaybanga, Lobo, Batangas</t>
  </si>
  <si>
    <t>Jaybanga, Lobo, Batangas, Philippines</t>
  </si>
  <si>
    <t>Jesus Is Lord Christian School</t>
  </si>
  <si>
    <t>J.V Pagaspas St., Brgy. Poblacion IV, Tanauan City, Batangas</t>
  </si>
  <si>
    <t>34PX+P67, B Pagaspas St, Tanauan City, Batangas, Philippines</t>
  </si>
  <si>
    <t>Jesus Reigns Christian College - Amadeo</t>
  </si>
  <si>
    <t>Crisanto Delos Reyes Road, Brgy. Amadeo, Cavite</t>
  </si>
  <si>
    <t>5WJJ+5W6, Crisanto M. De Los Reyes Ave, Amadeo, Cavite, Philippines</t>
  </si>
  <si>
    <t>JOEL B. ARQUIZA NHS</t>
  </si>
  <si>
    <t>Guinhawa</t>
  </si>
  <si>
    <t>Guinhawa, Malolos, Bulacan, Philippines</t>
  </si>
  <si>
    <t>Jomalig NHS</t>
  </si>
  <si>
    <t>Talisoy</t>
  </si>
  <si>
    <t>Talisoy, Jomalig, Quezon, Philippines</t>
  </si>
  <si>
    <t>Jongo National High School</t>
  </si>
  <si>
    <t>Jongo</t>
  </si>
  <si>
    <t>V6GM+FC5, Lopez, Quezon, Philippines</t>
  </si>
  <si>
    <t>Juanito C. Wagan  Integrated National High School  (Formerly San Antonio National High School Annex)</t>
  </si>
  <si>
    <t>San Jose</t>
  </si>
  <si>
    <t>Kabulusan Integrated National High School</t>
  </si>
  <si>
    <t>Sampaguita Street</t>
  </si>
  <si>
    <t>9C82+W8F, Pakil - Pangil - Mabitac Rd, Pakil, Laguna, Philippines</t>
  </si>
  <si>
    <t>Kapayapaan Integrated School</t>
  </si>
  <si>
    <t>Manfil, Kapayapaan Ville, Canlubang, Calamba City</t>
  </si>
  <si>
    <t>633W+VGG, Manfil Ave, Calamba, 4027 Laguna, Philippines</t>
  </si>
  <si>
    <t>Kasiglahan Village Senior High School</t>
  </si>
  <si>
    <t>Phase 1K2, Kasiglahan Village, San Jose, Rodriguez, Rizal</t>
  </si>
  <si>
    <t>1K1 1860, Kasiglahan Village, Rodriguez, Rizal, Philippines</t>
  </si>
  <si>
    <t>Katimo NHS</t>
  </si>
  <si>
    <t>Katimo, Tagkawayan, Quezon, Philippines</t>
  </si>
  <si>
    <t>Kay-Anlog National High School</t>
  </si>
  <si>
    <t>Purok 1, Brgy. Kay-Anlog</t>
  </si>
  <si>
    <t>Kay-Anlog Barangay Hall, Calamba, 4027 Laguna, Philippines</t>
  </si>
  <si>
    <t>Kaylaway Integrated National High School</t>
  </si>
  <si>
    <t>Kaylaway, Nasugbu, Batangas</t>
  </si>
  <si>
    <t>3RJ5+WV4, Kaylaway, Nasugbu, Batangas, Philippines</t>
  </si>
  <si>
    <t>Kaysakat NHS</t>
  </si>
  <si>
    <t>Sitio Kaysakat</t>
  </si>
  <si>
    <t>Basketball court (Kaysakat, Brgy. San Jose), Calawis Road, Antipolo, 1870 Rizal, Philippines</t>
  </si>
  <si>
    <t>Kaytitinga Integrated School</t>
  </si>
  <si>
    <t>4R5H+56P, Kaytitinga-Sinaliw Road, Alfonso, Cavite, Philippines</t>
  </si>
  <si>
    <t>KCD College of Accountancy</t>
  </si>
  <si>
    <t>2nd Floor KCD Commercial Complex, National Highway, Alaminos, Laguna</t>
  </si>
  <si>
    <t>KCD Commercial Complex, National Highway, Alaminos, Laguna, Philippines</t>
  </si>
  <si>
    <t>KCD Technical Institute</t>
  </si>
  <si>
    <t>National Highway, Brgy. II, Poblacion, Alaminos, Laguna</t>
  </si>
  <si>
    <t>KCD Commercial Complex, National Highway, II (Pob.), Alaminos, Laguna, Philippines</t>
  </si>
  <si>
    <t>Kinatakutan NHS</t>
  </si>
  <si>
    <t>Kinatakutan, Tagkawayan, Quezon</t>
  </si>
  <si>
    <t>Kinatakutan, Tagkawayan, Quezon, Philippines</t>
  </si>
  <si>
    <t>L. Bernardo Memorial High School, Inc.</t>
  </si>
  <si>
    <t>Bala</t>
  </si>
  <si>
    <t>31 Bala St, Luisiana, Laguna, Philippines</t>
  </si>
  <si>
    <t>La Consolacion College Biñan</t>
  </si>
  <si>
    <t>Sto. Tomas, Biñan City, Laguna</t>
  </si>
  <si>
    <t>83GH+J43, Biñan, 4023 Laguna, Philippines</t>
  </si>
  <si>
    <t>LABAS SENIOR HIGH SCHOOL STAND ALONE</t>
  </si>
  <si>
    <t>Westdrive Village Brgy. Labas</t>
  </si>
  <si>
    <t>8445+VRX, Westdrive Subdivision, City of Santa Rosa, Laguna, Philippines</t>
  </si>
  <si>
    <t>Lagay NHS</t>
  </si>
  <si>
    <t>Lagay</t>
  </si>
  <si>
    <t>Lagay, Calauag, Quezon, Philippines</t>
  </si>
  <si>
    <t>Laguna College</t>
  </si>
  <si>
    <t>Paseo de Escudero Street, San Pablo City, Laguna</t>
  </si>
  <si>
    <t>Paseo de Escudero at Zulueta ST, 38CG+XFV, Paseo de Escudero, San Pablo, 4000 Laguna, Philippines</t>
  </si>
  <si>
    <t>Laguna College of Business and Arts</t>
  </si>
  <si>
    <t>Padre Burgos, Calamba City, Laguna</t>
  </si>
  <si>
    <t>6566+7R6, Burgos St, Calamba, 4027 Laguna, Philippines</t>
  </si>
  <si>
    <t>Laguna Eastern Academy of Santa. Rosa, Inc.</t>
  </si>
  <si>
    <t>Ambrocia Subd. Brgy. Ibaba, City of Santa Rosa, Laguna</t>
  </si>
  <si>
    <t>8478+7QM, Ambrocia Subdivision, City of Santa Rosa, 4026 Laguna, Philippines</t>
  </si>
  <si>
    <t>Laguna Maritime Arts and Business Colleges</t>
  </si>
  <si>
    <t>109 San Marcos Street Balian Pangil, Laguna</t>
  </si>
  <si>
    <t>Laguna Northwestern College</t>
  </si>
  <si>
    <t>56 Mabini St., San Antonio, San Pedro City, Laguna</t>
  </si>
  <si>
    <t>126 A Mabini St, San Antonio, San Pedro, 4023 Laguna, Philippines</t>
  </si>
  <si>
    <t>Laguna Northwestern College - SLRMC</t>
  </si>
  <si>
    <t>Brgy. Buhay, Siniloan, Laguna</t>
  </si>
  <si>
    <t>CCJX+3HV, Street, Siniloan, Laguna, Philippines</t>
  </si>
  <si>
    <t>Laguna Northwestern College-Corinthian Center</t>
  </si>
  <si>
    <t>F. Reyes St., Balibago, Sta. Rosa City, Laguna</t>
  </si>
  <si>
    <t>73RW+HJ2, Balibago Rd, Balibago, City of Santa Rosa, Laguna, Philippines</t>
  </si>
  <si>
    <t>Laguna Northwestern College-SLRMC</t>
  </si>
  <si>
    <t>Laguna Science and Technology College</t>
  </si>
  <si>
    <t>FilipiÃ±a Compound, National Highway, Landayan, San Pedro, Laguna</t>
  </si>
  <si>
    <t>Filipiña Compound, National Highway, 9327+3MV, Manila S Rd, San Pedro, 4023 Laguna, Philippines</t>
  </si>
  <si>
    <t>Laguna Science Integrated High School</t>
  </si>
  <si>
    <t>Brgy. Maitim Bay , Laguna</t>
  </si>
  <si>
    <t>Maitim, Bay, Laguna, Philippines</t>
  </si>
  <si>
    <t>LAGUNA SENIOR HIGH SCHOOL</t>
  </si>
  <si>
    <t>Barangay 1- Poblacion</t>
  </si>
  <si>
    <t>Provincial Capitol Compound, Santa Cruz, Laguna, Philippines</t>
  </si>
  <si>
    <t>Laguna State Polytechnic University</t>
  </si>
  <si>
    <t>Bubukal, Sta. Cruz, Laguna</t>
  </si>
  <si>
    <t>796X+W3, Santa Cruz, Laguna, Philippines</t>
  </si>
  <si>
    <t>LAGUNA STATE POLYTECHNIC UNIVERSITY - LOS BAÃ‘OS</t>
  </si>
  <si>
    <t>Brgy. mayondon, Los BaÃ±os, Laguna</t>
  </si>
  <si>
    <t>38M6+6VQ, Cosico Ave, San Pablo City, 4000 Laguna, Philippines</t>
  </si>
  <si>
    <t>LAGUNA STATE POLYTECHNIC UNIVERSITY - STA CRUZ</t>
  </si>
  <si>
    <t>Brgy. Bubuka, Sta Cruz, Laguna</t>
  </si>
  <si>
    <t>Laguna State Polytechnic University-Los Baños</t>
  </si>
  <si>
    <t>Brgy. Malinta, Los Baños, Laguna</t>
  </si>
  <si>
    <t>56PJ+PP9, Los Baños, 4030 Laguna, Philippines</t>
  </si>
  <si>
    <t>Laguna State Polytechnic University-Nagcarlan</t>
  </si>
  <si>
    <t>, Nagcarlan, Laguna</t>
  </si>
  <si>
    <t>4C78+RH6, Nagcarlan, Laguna, Philippines</t>
  </si>
  <si>
    <t>Laguna State Polytechnic University-San Pablo City</t>
  </si>
  <si>
    <t>Lt. Cosico Avenue</t>
  </si>
  <si>
    <t>Laguna State Polytechnic University-Siniloan</t>
  </si>
  <si>
    <t>L. de Leon, Siniloan, Laguna</t>
  </si>
  <si>
    <t>CC7X+9CJ, L. de Leon Street, Siniloan, 4019 Laguna, Philippines</t>
  </si>
  <si>
    <t>Laguna State Polytechnic University-Siniloan Campus</t>
  </si>
  <si>
    <t>L. De Leon St. ,Siniloan , Laguna</t>
  </si>
  <si>
    <t>Laguna University</t>
  </si>
  <si>
    <t>Laguna Sports Complex, Brgy. Bubukal, Sta. Cruz, Laguna</t>
  </si>
  <si>
    <t>7C44+2PQ RECS Village, Santa Cruz, 4009 Laguna, Philippines</t>
  </si>
  <si>
    <t>Laiban National High School</t>
  </si>
  <si>
    <t>Kamagong</t>
  </si>
  <si>
    <t>J99Q+PHH, National Road, Tanay, 1980 Rizal, Philippines</t>
  </si>
  <si>
    <t>Laiya Integrated National High School</t>
  </si>
  <si>
    <t>Laiya Ibabao, San Juan, Batangas</t>
  </si>
  <si>
    <t>MCJ8+Q69, San Juan, Batangas, Philippines</t>
  </si>
  <si>
    <t>Lake Shore Educational Institution</t>
  </si>
  <si>
    <t>A. Bonifacio St., Canlalay BiÃ±an City, Laguna</t>
  </si>
  <si>
    <t>Lake Shore Educational Institution, Biñan, Laguna, Philippines</t>
  </si>
  <si>
    <t>Lalaguna Rural Academy</t>
  </si>
  <si>
    <t>V88J+VM8, Lopez, Quezon, Philippines</t>
  </si>
  <si>
    <t>Lalig National High School</t>
  </si>
  <si>
    <t>Lalig</t>
  </si>
  <si>
    <t>X8GH+V49, Tiaong, Quezon, Philippines</t>
  </si>
  <si>
    <t>Lamon Bay SOF - Main Gumaca</t>
  </si>
  <si>
    <t>San Vicente</t>
  </si>
  <si>
    <t>Lamon Bay SOF Annex - Capaluhan, Calauag</t>
  </si>
  <si>
    <t>Capaluhan</t>
  </si>
  <si>
    <t>Capaluhan, 28HJ+3H2, Calauag, 4318 Quezon, Philippines</t>
  </si>
  <si>
    <t>Langgas NHS</t>
  </si>
  <si>
    <t>Langgas</t>
  </si>
  <si>
    <t>Langgas, Infanta, Quezon, Philippines</t>
  </si>
  <si>
    <t>Lecheria Integrated School</t>
  </si>
  <si>
    <t>Banahaw St.</t>
  </si>
  <si>
    <t>Lecheria, 6548+66H, Calamba, 4027 Laguna, Philippines</t>
  </si>
  <si>
    <t>Lemery Colleges</t>
  </si>
  <si>
    <t>A. Bonifacio St., Illustre Ave.,</t>
  </si>
  <si>
    <t>A. Bonifacio St., Brgy, Lemery, 4209 Batangas, Philippines</t>
  </si>
  <si>
    <t>Lemery Senior High School</t>
  </si>
  <si>
    <t>Bagong Sikat, Lemery, Batangas</t>
  </si>
  <si>
    <t>VWP8+F42, Lemery, Batangas, Philippines</t>
  </si>
  <si>
    <t>Leon Guinto Memorial College</t>
  </si>
  <si>
    <t>443 A. Mabini Street</t>
  </si>
  <si>
    <t>443 Apolinario Mabini St, Atimonan, 4331 Quezon, Philippines</t>
  </si>
  <si>
    <t>Leonarda D. Vera Cruz NHS (Formerly Panaon NHS)</t>
  </si>
  <si>
    <t>Ibabang Panaon</t>
  </si>
  <si>
    <t>Panaon, Misamis Occidental, Philippines</t>
  </si>
  <si>
    <t>Lian Institute</t>
  </si>
  <si>
    <t>J.P. Rizal St.</t>
  </si>
  <si>
    <t>2MM3+P3X, Lian, Batangas, Philippines</t>
  </si>
  <si>
    <t>Lian Senior High School</t>
  </si>
  <si>
    <t>Malaruhatan, Lian, Batangas</t>
  </si>
  <si>
    <t>2MG8+5VJ, Lian, Batangas, Philippines</t>
  </si>
  <si>
    <t>Libo NHS</t>
  </si>
  <si>
    <t>Libo</t>
  </si>
  <si>
    <t>Liceo de Bay</t>
  </si>
  <si>
    <t>57JM+7JH, Bay, Laguna, Philippines</t>
  </si>
  <si>
    <t>Liceo de Luisiana</t>
  </si>
  <si>
    <t>5GM5+XM3, Barangay Zone I, Luisiana, Laguna, Philippines</t>
  </si>
  <si>
    <t>Liceo de Mamatid</t>
  </si>
  <si>
    <t>Mamatid, Cabuyao Laguna</t>
  </si>
  <si>
    <t>65M5+X85, Mamatid Rd, Cabuyao City, Laguna, Philippines</t>
  </si>
  <si>
    <t>Liceo de Paete</t>
  </si>
  <si>
    <t>B-9 Tinawin St. Paete, Laguna</t>
  </si>
  <si>
    <t>9F7J+WH3, Paete, Laguna, Philippines</t>
  </si>
  <si>
    <t>Liceo de San Antonio</t>
  </si>
  <si>
    <t>M. Dela Fuente St. San Antonio, Kalayaan, Laguna</t>
  </si>
  <si>
    <t>Brgy San Antonio Kalayaan, Laguna, 8GP6+R3P, Kalayaan, Laguna, Philippines</t>
  </si>
  <si>
    <t>Liceo De Sto. Tomas De Aquinas Inc.</t>
  </si>
  <si>
    <t>T&amp;C Business Center, 2nd Flr., Leon Bldg., Zone 5</t>
  </si>
  <si>
    <t>Zone 5, San Roque, Northern Samar, Philippines</t>
  </si>
  <si>
    <t>Liceo de Victoria</t>
  </si>
  <si>
    <t>25 Jose Rizal St, Victoria, Laguna, Philippines</t>
  </si>
  <si>
    <t>Liliw Senior High School</t>
  </si>
  <si>
    <t>Ibabang Taykin, Liliw, Laguna</t>
  </si>
  <si>
    <t>Brgy. 4004, Liliw, Laguna, Philippines</t>
  </si>
  <si>
    <t>Lilyrose Educational Foundation, Inc.</t>
  </si>
  <si>
    <t>A. Mabini Avenue, Tanauan City, Batangas</t>
  </si>
  <si>
    <t>A Mabini Ave, Tanauan City, Batangas, Philippines</t>
  </si>
  <si>
    <t>Lina Gayeta-Lasquety NHS (Formerly Kinagunan Ibaba NHS)</t>
  </si>
  <si>
    <t>Kinagunan Ibaba</t>
  </si>
  <si>
    <t>Lipa City National High School</t>
  </si>
  <si>
    <t>B. Morada Ave., Old City Hall Compound</t>
  </si>
  <si>
    <t>W5R4+RQ8 Old City Hall Compound, 1, Lipa City, 4217 Batangas, Philippines</t>
  </si>
  <si>
    <t>Lipa City Science Integrated National High School</t>
  </si>
  <si>
    <t>611 B. Morada St., Brgy.1,Lipa City</t>
  </si>
  <si>
    <t>1 Morada Ave, Lipa City, Batangas, Philippines</t>
  </si>
  <si>
    <t>Lipa City Senior High School</t>
  </si>
  <si>
    <t>B. Morada Ave.</t>
  </si>
  <si>
    <t>W5R4+C9W, Morada Ave, Lipa City, Batangas, Philippines</t>
  </si>
  <si>
    <t>Lipa City Sports Academy</t>
  </si>
  <si>
    <t>Sto. Tomas-Lipa Road</t>
  </si>
  <si>
    <t>Santo Tomas-Lipa Rd, Lipa City, Batangas, Philippines</t>
  </si>
  <si>
    <t>Liwayway National High School</t>
  </si>
  <si>
    <t>Liwayway</t>
  </si>
  <si>
    <t>4M5Q+G2P, Sitio Mapuputi, Barangay Liwayway, Mauban, 4330 Quezon, Philippines</t>
  </si>
  <si>
    <t>LNC Corinthian Center</t>
  </si>
  <si>
    <t>Balibago, Sta. Rosa City, Laguna</t>
  </si>
  <si>
    <t>Lobo Institute, Inc.</t>
  </si>
  <si>
    <t>Olo-olo Lobo Batangas</t>
  </si>
  <si>
    <t>J6V9+643, Lobo - Malabrigo Rd, Lobo, Batangas, Philippines</t>
  </si>
  <si>
    <t>Lobo Senior High School</t>
  </si>
  <si>
    <t>Poblacion, Lobo, Batangas</t>
  </si>
  <si>
    <t>J6X5+VFH, Unnamed Road, Lobo, Batangas, Philippines</t>
  </si>
  <si>
    <t>Lodlod Integrated National High School</t>
  </si>
  <si>
    <t>J, Zone #4, W4MW+Q4F, Brgy Mayor Street, Lipa City, 4217 Batangas, Philippines</t>
  </si>
  <si>
    <t>Looc  Integrated School</t>
  </si>
  <si>
    <t>Narra St.</t>
  </si>
  <si>
    <t>65FG+2XC, Calamba, 4027 Laguna, Philippines</t>
  </si>
  <si>
    <t>Lopez National Comprehensive High School</t>
  </si>
  <si>
    <t>Maharlika Highway</t>
  </si>
  <si>
    <t>V7P7+7F3, Magsaysay, Lopez, Quezon, Philippines</t>
  </si>
  <si>
    <t>Lord Immanuel Institute Foundation, Inc.</t>
  </si>
  <si>
    <t>J. P. Rizal St., Poblacion, Lobo, Batangas</t>
  </si>
  <si>
    <t>J6W5+43P Jose, Rizal St, Lobo, 4229 Batangas, Philippines</t>
  </si>
  <si>
    <t>Los BaÃ±os - Bayog Senior High School Stand Alone</t>
  </si>
  <si>
    <t>56RV+HJP, Los Baños, Laguna, Philippines</t>
  </si>
  <si>
    <t>Los BaÃ±os Bambang Senior High School Stand Alone</t>
  </si>
  <si>
    <t>-Purok 3, Bambang</t>
  </si>
  <si>
    <t>Bambang, Nueva Vizcaya, Philippines</t>
  </si>
  <si>
    <t>Los BaÃ±os Lalakay Senior High School Stand Alone</t>
  </si>
  <si>
    <t>National Road, Lalakay, Los Banos, Laguna</t>
  </si>
  <si>
    <t>56C7+PVM, National Road, Los Baños, Laguna, Philippines</t>
  </si>
  <si>
    <t>Los BaÃ±os Senior High School (SHS) Stand Alone</t>
  </si>
  <si>
    <t>San Antonio, Los Banos, Laguna</t>
  </si>
  <si>
    <t>San Antonio, Los Baños, Laguna, Philippines</t>
  </si>
  <si>
    <t>Lowland Integrated National High School</t>
  </si>
  <si>
    <t>Brgy. Maravilla, Nagcarlan, Laguna</t>
  </si>
  <si>
    <t>59HF+MP6, Calauan - Nagcarlan Rd, Calumpang, Nagcarlan, Laguna, Philippines</t>
  </si>
  <si>
    <t>LPU-St. Cabrini School of Health Sciences</t>
  </si>
  <si>
    <t>Km. 54, National Highway, Makiling, Calamba City, Laguna</t>
  </si>
  <si>
    <t>54 San Cristobal Bridge, Makiling, Calamba, 4027 Laguna, Philippines</t>
  </si>
  <si>
    <t>LUALHATI D. EDAÃ‘O NHS</t>
  </si>
  <si>
    <t>Nasalaan</t>
  </si>
  <si>
    <t>Nasalaan, San Francisco (Aurora), Quezon, Philippines</t>
  </si>
  <si>
    <t>Lubayat National High School (Formerly Ungos NHS - Lubayat Extension Class)</t>
  </si>
  <si>
    <t>Brgy. Lubayat, Real, Quezon</t>
  </si>
  <si>
    <t>Sitio Centro Brgy. Lubayat, GJ3J+W64, Lubayat Famy-Real-Infanta Rd, Lubayat, Real, 4335 Quezon, Philippines</t>
  </si>
  <si>
    <t>Lucban Academy</t>
  </si>
  <si>
    <t>77 San Luis St.</t>
  </si>
  <si>
    <t>77 San Luis, Lucban, Quezon, Philippines</t>
  </si>
  <si>
    <t>Lucena City National High School</t>
  </si>
  <si>
    <t>Purok Sariling Atin Brgy. Ibabang Dupay</t>
  </si>
  <si>
    <t>Maharlika Highway, WJWH+Q5P, Elvira Razon Aranilla Compound, Ibabang Dupay, Lucena City, 4301 Quezon Province, Philippines</t>
  </si>
  <si>
    <t>Lucena Dalahican National High School</t>
  </si>
  <si>
    <t>Dalahican Road</t>
  </si>
  <si>
    <t>WJ58+XRM, Dalahican, Lucena City, 4301 Quezon, Philippines</t>
  </si>
  <si>
    <t>Lucsuhin Integrated School</t>
  </si>
  <si>
    <t>LUKSUHIN</t>
  </si>
  <si>
    <t>2020 Luksuhin - Mangas Rd, Alfonso, Cavite, Philippines</t>
  </si>
  <si>
    <t>Luis Aguado National High School</t>
  </si>
  <si>
    <t>Southville 2</t>
  </si>
  <si>
    <t>7V39+HMH Luis National High School, Aguado (Piscal Mundo), Trece Martires City, Cavite, Philippines</t>
  </si>
  <si>
    <t>LUIS C. OBIAL SENIOR HIGH SCHOOL</t>
  </si>
  <si>
    <t>9F8H+6XQ, Manila east road, Paete, Laguna, Philippines</t>
  </si>
  <si>
    <t>Luis Palad Integrated High School</t>
  </si>
  <si>
    <t>Pedro Orias</t>
  </si>
  <si>
    <t>J P. Orias, City of Tayabas, 4327 Quezon, Philippines</t>
  </si>
  <si>
    <t>Luis Y. Ferrer Jr. Senior High School</t>
  </si>
  <si>
    <t>South Square Village, Pasong Kawayan II, City of Gen. Trias</t>
  </si>
  <si>
    <t>Luis Y. Ferrer Jr. Senior High School South Square Village, 8VQJ+4VH, General Trias, 4107 Cavite, Philippines</t>
  </si>
  <si>
    <t>Luis Y. Ferrer Jr. South Senior High School</t>
  </si>
  <si>
    <t>Green Breeze Subdivision, Brgy. Biclatan, General Trias City</t>
  </si>
  <si>
    <t>7WG8+QH6, Green Breeze Village, Biclatan, General Trias, Cavite, Philippines</t>
  </si>
  <si>
    <t>Luisiana Integrated National High School</t>
  </si>
  <si>
    <t>Estrellado St.</t>
  </si>
  <si>
    <t>Estrellado, Luisiana, Laguna, Philippines</t>
  </si>
  <si>
    <t>Lumampong Integrated National High School</t>
  </si>
  <si>
    <t>Alfonso-Indang Rd.,</t>
  </si>
  <si>
    <t>Alfonso - Indang Road, Lumampong Halayhay, Cavite, Philippines</t>
  </si>
  <si>
    <t>Lumangbayan Integrated National High School</t>
  </si>
  <si>
    <t>Pinagbayanan, San Juan, Batangas</t>
  </si>
  <si>
    <t>RC2P+GH8, San Juan, Batangas, Philippines</t>
  </si>
  <si>
    <t>Lumban Senior High School</t>
  </si>
  <si>
    <t>8F35+RJM, Lumban, Laguna, Philippines</t>
  </si>
  <si>
    <t>Lumbang Integrated NHS</t>
  </si>
  <si>
    <t>Purok 3, Lumbang, Lipa City</t>
  </si>
  <si>
    <t>Santo Tomas-Lipa Rd., Lumbang, Lipa City, 4217, Batangas, Santo Tomas - Lipa Rd, Lipa City, Batangas, Philippines</t>
  </si>
  <si>
    <t>Lumil Integrated National High School</t>
  </si>
  <si>
    <t>Km. 65 Tagaytay-Sta. Rosa Road</t>
  </si>
  <si>
    <t>65 Santa Rosa - Tagaytay Rd, Silang, Cavite, Philippines</t>
  </si>
  <si>
    <t>Lusacan National High School</t>
  </si>
  <si>
    <t>Alvarez Village</t>
  </si>
  <si>
    <t>Lusacan National High School, Lusacan, Tiaong, Quezon, Philippines</t>
  </si>
  <si>
    <t>Lutucan Integrated National High School</t>
  </si>
  <si>
    <t>Brgy. Lutucan Malabag, Sariaya, Quezon</t>
  </si>
  <si>
    <t>WF5R+2H7, Sariaya, 4322 Quezon, Philippines</t>
  </si>
  <si>
    <t>Luzonian Center of Excellence for Science and Technology Inc.</t>
  </si>
  <si>
    <t>XX2G+HQH, 1, Carranglan, 3123 Nueva Ecija, Philippines</t>
  </si>
  <si>
    <t>Lyceum de San Pablo</t>
  </si>
  <si>
    <t>Richfield Educational Compound, Mahabang Parang, Brgy. Calihan, San Francisco, San Pablo City, Laguna</t>
  </si>
  <si>
    <t>Richfield Educational Compound, Brgy. San Francisco, D.I. Calihan, 385F+4JV, San Pablo City, Laguna, Philippines</t>
  </si>
  <si>
    <t>Lyceum de San Pablo, Inc.</t>
  </si>
  <si>
    <t>Mahabang Parang, DI, Calihan</t>
  </si>
  <si>
    <t>Mahabang Parang, Angono, Rizal, Philippines</t>
  </si>
  <si>
    <t>LYCEUM DE STA ROSA LAGUNA EDUCATION INC.</t>
  </si>
  <si>
    <t>National Highway, Brgy. Dila, Santa Rosa City</t>
  </si>
  <si>
    <t>Blk 54 Lot 2, Phase 1, Brgy Entrance to Golden City Subdivision, City of Santa Rosa, Laguna, Philippines</t>
  </si>
  <si>
    <t>Lyceum of San Pedro</t>
  </si>
  <si>
    <t>Phase 1A Pacita Complex, San Pedro City, Laguna</t>
  </si>
  <si>
    <t>Phase 1A, Pacita Complex, 1, San Pedro, 4023 Laguna, Philippines</t>
  </si>
  <si>
    <t>LYCEUM OF SOUTHERN LUZON, INC.</t>
  </si>
  <si>
    <t>Brgy. Lanatan</t>
  </si>
  <si>
    <t>Bonville Subdivision, Tuy - Balayan Hwy, Balayan, Batangas, Philippines</t>
  </si>
  <si>
    <t>LYCEUM OF ST DOMINIC INC.</t>
  </si>
  <si>
    <t>SB Bldg., Olega Ext., Alda</t>
  </si>
  <si>
    <t>59JR+JH7, Unnamed Road, Santa Elena, Camarines Norte, Philippines</t>
  </si>
  <si>
    <t>Lyceum of the Philippines University</t>
  </si>
  <si>
    <t>Capitol Site, Batangas City</t>
  </si>
  <si>
    <t>Batangas City, Batangas, Philippines</t>
  </si>
  <si>
    <t>Lyceum of The Philippines University - Batangas, Inc.</t>
  </si>
  <si>
    <t>Gulod Labac, Batangas City</t>
  </si>
  <si>
    <t>Q37C+2XM, Gov. Antonio Carpio Rd, Batangas City, Batangas, Philippines</t>
  </si>
  <si>
    <t>Lyceum of the Philippines- Laguna, Inc.</t>
  </si>
  <si>
    <t>Km. 54 National Highway</t>
  </si>
  <si>
    <t>Lyceum of the Philippines University Laguna, 54, Makiling, Calamba, 4027 Laguna, Philippines</t>
  </si>
  <si>
    <t>Lyceum of the Philippines-Laguna</t>
  </si>
  <si>
    <t>Km. 54, National Hi-way, Makiling, Calamba City, Laguna</t>
  </si>
  <si>
    <t>Km. 54 San Cristobal Bridge, Calamba, 4027 Laguna, Philippines</t>
  </si>
  <si>
    <t>Lyceum of the Philippines, Inc.</t>
  </si>
  <si>
    <t>Governor's Drive, Manggahan, General Trias City, Cavite</t>
  </si>
  <si>
    <t>Governor's Dr, Manggahan, Cavite, Philippines</t>
  </si>
  <si>
    <t>Lyceum of the Phils,  Laguna, Inc.</t>
  </si>
  <si>
    <t>Laguna, Philippines</t>
  </si>
  <si>
    <t>LYCEUM OF TINGLOY DE SAN ROQUE INC.</t>
  </si>
  <si>
    <t>Brgy. Papaya, Tingloy</t>
  </si>
  <si>
    <t>Papaya, Tingloy, Batangas, Philippines</t>
  </si>
  <si>
    <t>LYCEUM TECHNOLOGICAL COLLEGE INC.</t>
  </si>
  <si>
    <t>Brgy. Talisay, Tiaong, Quezon</t>
  </si>
  <si>
    <t>X82W+QH3, Lusacan, Tiaong, Quezon, Philippines</t>
  </si>
  <si>
    <t>M. S. Enverga Academy Foundation, Inc.</t>
  </si>
  <si>
    <t>BRGY. BAYONGON</t>
  </si>
  <si>
    <t>Lynx Avenue, Cor Enverga St, Bayongon, Sampaloc, Quezon, Philippines</t>
  </si>
  <si>
    <t>Maabud Integrated National High School</t>
  </si>
  <si>
    <t>Maabud North, San Nicolas, Batangas</t>
  </si>
  <si>
    <t>WX68+266, San Nicolas, Batangas, Philippines</t>
  </si>
  <si>
    <t>Mabato National High School</t>
  </si>
  <si>
    <t>Mabato, Calamba City</t>
  </si>
  <si>
    <t>Mabato, 525Q+29C, Calamba, 4027 Laguna, Philippines</t>
  </si>
  <si>
    <t>Mabini College of Batangas,Inc.</t>
  </si>
  <si>
    <t>J. Panopio St., Poblacion, Mabini, Bats.</t>
  </si>
  <si>
    <t>PWXR+9FG, J Panopio, Barangay Poblacion, Mabini, Batangas, Philippines</t>
  </si>
  <si>
    <t>Mabitac Integrated National High School</t>
  </si>
  <si>
    <t>B. Sayarot</t>
  </si>
  <si>
    <t>Mabitac, Laguna, Philippines</t>
  </si>
  <si>
    <t>Macalelon High School</t>
  </si>
  <si>
    <t>P. Pajarillo St.</t>
  </si>
  <si>
    <t>P R. Pajarillo, Macalelon, Quezon, Philippines</t>
  </si>
  <si>
    <t>Magallanes - Cavite West Point  College Inc.</t>
  </si>
  <si>
    <t>Kaytitinga - Magallanes Rd, Magallanes, Cavite, Philippines</t>
  </si>
  <si>
    <t>Magallanes NHS</t>
  </si>
  <si>
    <t>Magallanes</t>
  </si>
  <si>
    <t>Magallanes, Cavite, Philippines</t>
  </si>
  <si>
    <t>Magdalena Integrated National High School</t>
  </si>
  <si>
    <t>Brgy.Malaking Ambling,Magdalena,Laguna</t>
  </si>
  <si>
    <t>5CXH+2J2, Magdalena, Laguna, Philippines</t>
  </si>
  <si>
    <t>Magna Anima Teachers College</t>
  </si>
  <si>
    <t>Mesa Drive, Brgy. Sto. Domingo, Sta. Rosa City, Laguna</t>
  </si>
  <si>
    <t>63R7+43X, City of Santa Rosa, Laguna, Philippines</t>
  </si>
  <si>
    <t>Magsaysay NHS (Formerly Ajos NHS - Magsaysay Extension)</t>
  </si>
  <si>
    <t>Magsaysay</t>
  </si>
  <si>
    <t>Magsaysay, Davao del Sur, Philippines</t>
  </si>
  <si>
    <t>Mahabang Dahilig Senior High School - Stand Alone</t>
  </si>
  <si>
    <t>MAHABANG DAHILIG</t>
  </si>
  <si>
    <t>P36V+656, Batangas City, Batangas, Philippines</t>
  </si>
  <si>
    <t>Majada In Integrated School</t>
  </si>
  <si>
    <t>Majada In</t>
  </si>
  <si>
    <t>53QR+H7J Majada In, Canlubang, Calamba, 4027 Laguna, Philippines</t>
  </si>
  <si>
    <t>Makiling Integrated School</t>
  </si>
  <si>
    <t>Purok 3 National Highway, Brgy. Makiling</t>
  </si>
  <si>
    <t>543P+FR2, 1, Calamba, 4027 Laguna, Philippines</t>
  </si>
  <si>
    <t>Malaya Integrated National High School</t>
  </si>
  <si>
    <t>Vicencio St.</t>
  </si>
  <si>
    <t>98XQ+RX2, Natinal Rd, Pililla, Rizal, Philippines</t>
  </si>
  <si>
    <t>Malaya NHS</t>
  </si>
  <si>
    <t>Malaya</t>
  </si>
  <si>
    <t>Malaya, Naujan, Oriental Mindoro, Philippines</t>
  </si>
  <si>
    <t>Malayan Colleges Laguna</t>
  </si>
  <si>
    <t>Pulo-Diezmo Road, Banay-banay, Cabuyao City, Laguna</t>
  </si>
  <si>
    <t>Pulo-Diezmo Road, Cabuyao City, 4025 Laguna, Philippines</t>
  </si>
  <si>
    <t>Maligaya Integrated National High School</t>
  </si>
  <si>
    <t>San Isidro</t>
  </si>
  <si>
    <t>San Isidro, Nueva Ecija, Philippines</t>
  </si>
  <si>
    <t>Maligaya National High School (formerly Paaralang Sek. Ng Hen. Nakar - Maligaya Extension)</t>
  </si>
  <si>
    <t>Centro I Brgy. Maligaya</t>
  </si>
  <si>
    <t>Maligaya Pob. (Barangay 1), El Nido, Palawan, Philippines</t>
  </si>
  <si>
    <t>Maligaya NHS</t>
  </si>
  <si>
    <t>Maligaya</t>
  </si>
  <si>
    <t>Malinao Ilaya Integrated National High School</t>
  </si>
  <si>
    <t>Malinao Ilaya</t>
  </si>
  <si>
    <t>XRVQ+V37, Atimonan, 4331 Quezon, Philippines</t>
  </si>
  <si>
    <t>Malusak National High School</t>
  </si>
  <si>
    <t>Malusak</t>
  </si>
  <si>
    <t>203 Atimonan - Unisan Rd, Atimonan, Quezon, Philippines</t>
  </si>
  <si>
    <t>Malvar Senior High School</t>
  </si>
  <si>
    <t>Trinidad Leviste Endaya Road, Brgy. Poblacion, Malvar, Batangas</t>
  </si>
  <si>
    <t>25X7+548, Malvar, Batangas, Philippines</t>
  </si>
  <si>
    <t>Mamatid Senior High School</t>
  </si>
  <si>
    <t>Mamatid, Cabuyao City, Laguna</t>
  </si>
  <si>
    <t>Mamatid, Cabuyao City, Laguna, Philippines</t>
  </si>
  <si>
    <t>MANSILAY NHS</t>
  </si>
  <si>
    <t>Mansilay</t>
  </si>
  <si>
    <t>Mansalay, Oriental Mindoro, Philippines</t>
  </si>
  <si>
    <t>Manuel I. Santos Integrated School</t>
  </si>
  <si>
    <t>Sitio Lambak</t>
  </si>
  <si>
    <t>Sitio Lambak Barangay San Juan, G4WG+R34, Taytay, 1920 Lalawigan ng Rizal, Philippines</t>
  </si>
  <si>
    <t>Manuel S. Enverga Institute Foundation, Inc.</t>
  </si>
  <si>
    <t>Quizon St.</t>
  </si>
  <si>
    <t>V7VV+R3W, San Antonio, Quezon, Philippines</t>
  </si>
  <si>
    <t>Manuel S. Enverga Memorial School of Arts and Trades</t>
  </si>
  <si>
    <t>Brgy. Soledad</t>
  </si>
  <si>
    <t>Soledad, 5PM4+3CC, Mauban, 4330 Quezon, Philippines</t>
  </si>
  <si>
    <t>Manuel S. Enverga University Foundation, Inc.</t>
  </si>
  <si>
    <t>Pan-Philippine Highway</t>
  </si>
  <si>
    <t>Manuel S. Enverga University Foundation, Enverga Blvd, Ibabang Dupay, Lucena City, 4301 Quezon Province, Philippines</t>
  </si>
  <si>
    <t>Mapua Malayan Colleges Laguna</t>
  </si>
  <si>
    <t>Blk. 4 Lot 6 Southpoint Subd., Pulo-Diezmo Road, Cabuyao City, Laguna</t>
  </si>
  <si>
    <t>blk 4, 6 Southpoint Subdivision, Cabuyao City, Laguna, Philippines</t>
  </si>
  <si>
    <t>Mapulot National High School</t>
  </si>
  <si>
    <t>Brgy. Mapulot, Tagkawayan, Quezon</t>
  </si>
  <si>
    <t>2HPQ+5FX, Tagkawayan, 4321 Quezon, Philippines</t>
  </si>
  <si>
    <t>Maragondon National High School</t>
  </si>
  <si>
    <t>Balitao St.,</t>
  </si>
  <si>
    <t>Garita A, Maragondon, 4112, Cavite, Maragondon, Cavite, Philippines</t>
  </si>
  <si>
    <t>Marasigan Institute of Science and Technology</t>
  </si>
  <si>
    <t>Victoria Complex, Emilio Aguinaldo Highway, Salitran I, Dasmarinas, Cavite</t>
  </si>
  <si>
    <t>Victoria Complex, Gen Emilio Aguinaldo Hwy, Salitran, Dasmariñas, 4114 Cavite, Philippines</t>
  </si>
  <si>
    <t>Marcelino Fule Memorial College</t>
  </si>
  <si>
    <t>Maharlika High Way Del Pilar Brgy. 1, Alaminos, Laguna</t>
  </si>
  <si>
    <t>1, Philippines</t>
  </si>
  <si>
    <t>Marcelino M. Santos NHS</t>
  </si>
  <si>
    <t>R. Pascual Street, Sitio Tagbac</t>
  </si>
  <si>
    <t>Tagbac, Jaro, Iloilo City, Iloilo, Philippines</t>
  </si>
  <si>
    <t>Marcial B. Villanueva NHS (Formerly San Francisco NHS, San Francisco)</t>
  </si>
  <si>
    <t>Cawayan I</t>
  </si>
  <si>
    <t>9G76+M8Q, San Francisco (Aurora), Quezon, Philippines</t>
  </si>
  <si>
    <t>Margarito A. Duavit Memorial National High School</t>
  </si>
  <si>
    <t>Nagsulo Road Brgy Pilapila Binangonan Rizal</t>
  </si>
  <si>
    <t>C6Q6+H59, Nagsulo Road, Pila Pila, Binangonan, Rizal, Philippines</t>
  </si>
  <si>
    <t>MARITIME ACADEMY FOR TRAINING AND EDUCATION 2018 (MATE) INC.</t>
  </si>
  <si>
    <t>Arcade II Building</t>
  </si>
  <si>
    <t>Mary Angelicum Development Academy, Inc.</t>
  </si>
  <si>
    <t>NHA Avenue, Bagong Nayon II, Phase 3-A</t>
  </si>
  <si>
    <t>Mary Help of Christian College, Salesian Sisters</t>
  </si>
  <si>
    <t>Acacia St., Ceris I, Brgy. Canlubang, Calamba City, Laguna</t>
  </si>
  <si>
    <t>Ceris 1 Subd LEDC, Acacia St, Calamba, 4028 Laguna, Philippines</t>
  </si>
  <si>
    <t>MARY THE QUEEN OF MONTALBAN RIZAL COLLEGE INC.</t>
  </si>
  <si>
    <t>Blk. 16 Lot 11 Kanlaon St., Burgos, Rodriguez, Rizal</t>
  </si>
  <si>
    <t>P47R+FCC, Rodriguez, Rizal, Philippines</t>
  </si>
  <si>
    <t>Masapang Integrated National High School</t>
  </si>
  <si>
    <t>Masapang, Victoria, Laguna, Philippines</t>
  </si>
  <si>
    <t>Masaya Integrated National High School</t>
  </si>
  <si>
    <t>Gov. FT San Luis</t>
  </si>
  <si>
    <t>Masaya National High School, F.T. San Luis Avenue, Bay, Laguna, Philippines</t>
  </si>
  <si>
    <t>MaSTech Educational Institute Inc.</t>
  </si>
  <si>
    <t>San Jose St. Cor Lopez Jaena St., Gen. Emilio Aguinaldo, Bailen, Cavite</t>
  </si>
  <si>
    <t>5QMW+5W8, San Jose, General Emilio Aguinaldo, Cavite, Philippines</t>
  </si>
  <si>
    <t>Mataasnakahoy Senior High School</t>
  </si>
  <si>
    <t>Bayorbor, Mataasnakahoy, Batangas</t>
  </si>
  <si>
    <t>X3JV+M32, Mataas Na Kahoy, Batangas, Philippines</t>
  </si>
  <si>
    <t>Matalatala Integrated National High School</t>
  </si>
  <si>
    <t>Matalatala</t>
  </si>
  <si>
    <t>CC85+565, Pakil - Pangil - Mabitac Rd, Mabitac, Laguna, Philippines</t>
  </si>
  <si>
    <t>Matandang Sabang National High School</t>
  </si>
  <si>
    <t>MATANDANG SABANG SILANGAN</t>
  </si>
  <si>
    <t>Matandang Sabang Silangan, J72V+WX2, Catanauan, Quezon, Philippines</t>
  </si>
  <si>
    <t>Mater Redemptoris Collegium</t>
  </si>
  <si>
    <t>45 Purok 2, Brgy. Imok, Calauan, Laguna</t>
  </si>
  <si>
    <t>45 Purok 2, Calauan, 4012 Laguna, Philippines</t>
  </si>
  <si>
    <t>Maximo L. Gatlabayan Memorial NHS</t>
  </si>
  <si>
    <t>Sitio Paenaan</t>
  </si>
  <si>
    <t>J7F5+6WX, Baras, 1870 Rizal, Philippines</t>
  </si>
  <si>
    <t>Maximo T. Hernandez Memorial Integrated High School</t>
  </si>
  <si>
    <t>Malainin, Ibaan, Batangas</t>
  </si>
  <si>
    <t>R4R8+CRX, San Jose - Ibaan - Batangas Rd, Ibaan, Batangas, Philippines</t>
  </si>
  <si>
    <t>Mayamot National High School</t>
  </si>
  <si>
    <t>Rose Street, Greenheights Newtown I-A Subdivision</t>
  </si>
  <si>
    <t>11 Chestnut St, Marikina, 1811 Metro Manila, Philippines</t>
  </si>
  <si>
    <t>Mayao Parada Agricultural Integrated High School</t>
  </si>
  <si>
    <t>Brgy. Mayao Parada</t>
  </si>
  <si>
    <t>WJMW+764, Lucena City, 4301 Quezon, Philippines</t>
  </si>
  <si>
    <t>Mayuro National High School</t>
  </si>
  <si>
    <t>Mayuro, Rosario, Batangas</t>
  </si>
  <si>
    <t>Q7R8+62V, Rosario, Batangas, Philippines</t>
  </si>
  <si>
    <t>Mayuro Senior High School</t>
  </si>
  <si>
    <t>Q7R9+G8X, Rosario, Batangas, Philippines</t>
  </si>
  <si>
    <t>Millennium Christian High School of Cavite Inc.</t>
  </si>
  <si>
    <t>Tirona Highway, Habay Uno</t>
  </si>
  <si>
    <t>CWXR+2CM, Tirona Hwy, Bacoor, Cavite, Philippines</t>
  </si>
  <si>
    <t>Mind and Integrity (MAI) College</t>
  </si>
  <si>
    <t>Selina-Liz Bldg., National Highway, Brgy. San Cristobal, Calamba City</t>
  </si>
  <si>
    <t>Selina-Liz Bldg. National Hi-way, 64GR+P2V, San Cristobal, Calamba, Laguna, Philippines</t>
  </si>
  <si>
    <t>Mind and Integrity College</t>
  </si>
  <si>
    <t>Selina-Liz Bldg., National Hi-Way, San Cristobal, Calamba City, Laguna</t>
  </si>
  <si>
    <t>San Cristobal Bridge, San Cristobal, Calamba, 4027 Laguna, Philippines</t>
  </si>
  <si>
    <t>Missionari Della Fede Community-High School, Inc.</t>
  </si>
  <si>
    <t>11 Quirino St.</t>
  </si>
  <si>
    <t>Monark Foundation, Inc.</t>
  </si>
  <si>
    <t>South Expressway cor. Magsaysay Road,Barangay San Antonio, San Pedro, Laguna</t>
  </si>
  <si>
    <t>South Expressway, Brgy, cor Magsaysay Rd, San Antonio, San Pedro, 4023 Laguna, Philippines</t>
  </si>
  <si>
    <t>Montessori Integrated School</t>
  </si>
  <si>
    <t>#1 Senator Lorenzo Sumulong Memorial Circle</t>
  </si>
  <si>
    <t>1 L. Sumulong Memorial Circle, Antipolo, 1870 Rizal, Philippines</t>
  </si>
  <si>
    <t>Montessori Professional College - Antipolo</t>
  </si>
  <si>
    <t>M.L. Quezon Ave., Pines City Village, Antipolo City</t>
  </si>
  <si>
    <t>H5JG+J4H, M. L. Quezon Ave, Antipolo, 1870 Rizal, Philippines</t>
  </si>
  <si>
    <t>Montessori Professional College - Bacoor</t>
  </si>
  <si>
    <t>Tirona Hi-way near cor. Aguinaldo Hi-way</t>
  </si>
  <si>
    <t>Tirona Hiway, Emilio Aguinaldo Hwy, P.F. Espiritu V, Bacoor, Cavite, Philippines</t>
  </si>
  <si>
    <t>Montessori Professional College - Calamba</t>
  </si>
  <si>
    <t>Sta.Cecilia Business Center 1, Parian Old National Hi-way, Calamba City, Laguna</t>
  </si>
  <si>
    <t>365 Manila S Rd, Calamba, 4027 Laguna, Philippines</t>
  </si>
  <si>
    <t>Montessori Professional College - Imus</t>
  </si>
  <si>
    <t>Rita Sanchez Compound, Aguinaldo Hi-way, Bayan Luma VII Imus, Cavite</t>
  </si>
  <si>
    <t>CW6Q+XGX, Imus, Cavite, Philippines</t>
  </si>
  <si>
    <t>MOREH GLOBAL INNOVATIVE COLLEGE INCORPORATED</t>
  </si>
  <si>
    <t>169 San Francisco</t>
  </si>
  <si>
    <t>San Francisco, Cebu, Philippines</t>
  </si>
  <si>
    <t>Morong National Senior High School</t>
  </si>
  <si>
    <t>Juan Sumulong St.</t>
  </si>
  <si>
    <t>725 Sumulong St, Morong, 1960 Rizal, Philippines</t>
  </si>
  <si>
    <t>MOTHER THERESA COLEGIO DE NOVELETA, INC.</t>
  </si>
  <si>
    <t>037 San Juan I</t>
  </si>
  <si>
    <t>Noveleta, Cavite, Philippines</t>
  </si>
  <si>
    <t>Mount Carmel High School of Burdeos, Inc</t>
  </si>
  <si>
    <t>Quezon St.</t>
  </si>
  <si>
    <t>RXR9+58X, Burdeos, Quezon, Philippines</t>
  </si>
  <si>
    <t>Mount Carmel High School of Gen. Nakar, Inc.</t>
  </si>
  <si>
    <t>Highway</t>
  </si>
  <si>
    <t>QJ5H+9C4, General Nakar, Quezon, Philippines</t>
  </si>
  <si>
    <t>MULANAY INSTITUTE</t>
  </si>
  <si>
    <t>2214 Mulanay-San Narciso Road, Mulanay, Poblacion 3, 4312, Quezon, Mulanay, Quezon, Philippines</t>
  </si>
  <si>
    <t>Muntindilaw National High School</t>
  </si>
  <si>
    <t>Saint Martin de Porres Street, Brookside Hills Subdivision</t>
  </si>
  <si>
    <t>H4XJ+93J, Antipolo, 1870 Rizal, Philippines</t>
  </si>
  <si>
    <t>Munting Ilog Integrated National High School</t>
  </si>
  <si>
    <t>Munting Ilog, Silang, Cavite</t>
  </si>
  <si>
    <t>Munting Ilog, Silang, 4118, Cavite, Silang, Cavite, Philippines</t>
  </si>
  <si>
    <t>Nabangka NHS</t>
  </si>
  <si>
    <t>Capuluan Central</t>
  </si>
  <si>
    <t>Nabangka, RG26+W93, Guinayangan, 4319 Quezon, Philippines</t>
  </si>
  <si>
    <t>Nagcarlan Senior High School</t>
  </si>
  <si>
    <t>Kanluran Kabubuhayan, Nagcarlan</t>
  </si>
  <si>
    <t>Kanluran Kabubuhayan, Nagcarlan, Laguna, Philippines</t>
  </si>
  <si>
    <t>Nagsaulay Integrated National High School</t>
  </si>
  <si>
    <t>Nagsaulay, San Juan, Batangas</t>
  </si>
  <si>
    <t>Nagsaulay, San Juan, Batangas, Philippines</t>
  </si>
  <si>
    <t>Nagsinamo NHS</t>
  </si>
  <si>
    <t>Magsino Street</t>
  </si>
  <si>
    <t>Nagsinamo, Lucban, Quezon, Philippines</t>
  </si>
  <si>
    <t>Naic Coastal Integrated National High School</t>
  </si>
  <si>
    <t>Calle Cena</t>
  </si>
  <si>
    <t>8P7P+XQ9, Ternate Road, Naic, Cavite, Philippines</t>
  </si>
  <si>
    <t>Naic Integrated National High School</t>
  </si>
  <si>
    <t>Naic-Indang Rd.</t>
  </si>
  <si>
    <t>7QWV+6PG, Naic, Cavite, Philippines</t>
  </si>
  <si>
    <t>Naic Senior High School Stand-Alone</t>
  </si>
  <si>
    <t>Balsahan, Naic, 4110 Cavite, Philippines</t>
  </si>
  <si>
    <t>Naic West Point College Inc.</t>
  </si>
  <si>
    <t>JN Bldg., Governor's Drive</t>
  </si>
  <si>
    <t>8QFC+G9R IV A - Southern Tagalog, Naic, 4110 Cavite, Philippines</t>
  </si>
  <si>
    <t>Nasugbu East Senior High School</t>
  </si>
  <si>
    <t>Lumbangan, Nasugbu, Batangas</t>
  </si>
  <si>
    <t>3M29+X6V, Nasugbu, Batangas, Philippines</t>
  </si>
  <si>
    <t>Natalia V. Ramos Memorial Integrated School</t>
  </si>
  <si>
    <t>Concepcion, Tarlac, Philippines</t>
  </si>
  <si>
    <t>National College of Science and Technology</t>
  </si>
  <si>
    <t>Amafel Bldg., Emilio Aguinaldo Highway, Dasmarinas City, Cavite</t>
  </si>
  <si>
    <t>140 Emilio Aguinaldo Hwy, Dasmariñas, Cavite, Philippines</t>
  </si>
  <si>
    <t>NATIONAL COLLEGE OF SCIENCE AND TECHNOLOGY (NCST) IMUS INC.</t>
  </si>
  <si>
    <t>F. Yengko St., Poblacion IV-6, Imus City</t>
  </si>
  <si>
    <t>Nava Institute of Science and Technical Education, Inc.</t>
  </si>
  <si>
    <t>#8 G. Paz St., Sitio Combo</t>
  </si>
  <si>
    <t>F7RX+378 Sitio combo, G. Paz St, Pililla, Rizal, Philippines</t>
  </si>
  <si>
    <t>NBL Education Systems</t>
  </si>
  <si>
    <t>Mindanao Drive, Stage V, Macaria Village, San Francisco, BiÃ±an, Laguna</t>
  </si>
  <si>
    <t>83R6+6V6, Mindanao Drive, Biñan, 4024 Laguna, Philippines</t>
  </si>
  <si>
    <t>NCST Institute of Industrial Research and Training - General Trias</t>
  </si>
  <si>
    <t>NIA Rd., Bacao II, General Trias, Cavite</t>
  </si>
  <si>
    <t>Bacao II, General Trias, Cavite, Philippines</t>
  </si>
  <si>
    <t>NCST Institute of Industrial Research and Training, DasmariÃ±as City</t>
  </si>
  <si>
    <t>San Agustin 2, Aguinaldo Hi-way, DasmariÃ±as City, Cavite</t>
  </si>
  <si>
    <t>Emilio Aguinaldo Hwy, San Agustin II, Cavite, Philippines</t>
  </si>
  <si>
    <t>New Era SHS</t>
  </si>
  <si>
    <t>Brgy Sampaloc V</t>
  </si>
  <si>
    <t>2nd St, New Era Ave, Dasmariñas, Cavite, Philippines</t>
  </si>
  <si>
    <t>New Generation International School Inc.</t>
  </si>
  <si>
    <t>9044 Governor's Drive</t>
  </si>
  <si>
    <t>9044, Governor's Dr, Trece Martires City, Cavite, Philippines</t>
  </si>
  <si>
    <t>New Sinai School and Colleges Sta. Rosa</t>
  </si>
  <si>
    <t>National Highway, Brgy. Tagapo, Sta. Rosa City, Laguna</t>
  </si>
  <si>
    <t>838X+RCP, Manila S Rd, City of Santa Rosa, 4026 Laguna, Philippines</t>
  </si>
  <si>
    <t>Nicolas L. Galvez Memorial Integrated National High School</t>
  </si>
  <si>
    <t>San Antonio, Bay, Laguna</t>
  </si>
  <si>
    <t>57QM+62P, Bay, 4033 Laguna, Philippines</t>
  </si>
  <si>
    <t>Northern Quezon College, Inc.</t>
  </si>
  <si>
    <t>National Highway, Brgy. Comon, Infanta, Quezon</t>
  </si>
  <si>
    <t>Brgy. Comon, PJQV+7QH, Siniloan - Famy - Real - Infanta Road, Infanta, 4336 Quezon, Philippines</t>
  </si>
  <si>
    <t>Noveleta Senior High School</t>
  </si>
  <si>
    <t>San Rafael III</t>
  </si>
  <si>
    <t>CVPJ+V87, Camia Street, Noveleta, Cavite, Philippines</t>
  </si>
  <si>
    <t>NU DasmariÃ±as Incorporated</t>
  </si>
  <si>
    <t>Gov. Drive SM Dasmarinas Complex, Sampaloc 1, Dasmarinas City, Cavite</t>
  </si>
  <si>
    <t>4114 Governor's Dr, Brgy, Dasmariñas, 4114 Cavite, Philippines</t>
  </si>
  <si>
    <t>NU FOUNDATION INCORPORATED</t>
  </si>
  <si>
    <t>Km. 53 Pan Philippine Highway</t>
  </si>
  <si>
    <t>53 1, Calbayog, Samar, Philippines</t>
  </si>
  <si>
    <t>NU FOUNDATION INCORPORATED (NU Laguna)</t>
  </si>
  <si>
    <t>Km.54 Pan-Phil Highway</t>
  </si>
  <si>
    <t>KM 53 Pan-Philippine Hwy, Calamba, 4027 Laguna, Philippines</t>
  </si>
  <si>
    <t>NU Lipa Incorporated</t>
  </si>
  <si>
    <t>SM City Lipa, Ayala Highway</t>
  </si>
  <si>
    <t>SM City, Ayala Hwy, Brgy, Lipa City, Batangas, Philippines</t>
  </si>
  <si>
    <t>NU Sports Academy</t>
  </si>
  <si>
    <t>Km. 53, Pan Philippine Highway, Brgy. Milagrosa, Calamba City, Laguna</t>
  </si>
  <si>
    <t>53 1, Real, Calamba, 4027 Laguna, Philippines</t>
  </si>
  <si>
    <t>NUESTRA SEÃ‘ORA DE ARANZAZU PAROCHIAL SCHOOL, INC.</t>
  </si>
  <si>
    <t>Lo1-B,B. Mariano St., Sta. Ana, San Mateo, Rozal</t>
  </si>
  <si>
    <t>M4R7+8WP, B. Mariano St, San Mateo, Rizal, Philippines</t>
  </si>
  <si>
    <t>NYK-TDG Maritime Academy</t>
  </si>
  <si>
    <t>Knowledge Avenue, Carmeltown, Canlubang, Calamba City, Laguna</t>
  </si>
  <si>
    <t>Carmeltown, Knowledge Ave, Canlubang, Calamba, 4027 Laguna, Philippines</t>
  </si>
  <si>
    <t>OBB Institute of Learning Inc.</t>
  </si>
  <si>
    <t>Buho</t>
  </si>
  <si>
    <t>Buho-Talon Rd, Amadeo, Cavite, Philippines</t>
  </si>
  <si>
    <t>OBLATES OF ST. JOSEPH MINOR SEMINARY SAN JOSE, BATANGAS INC.</t>
  </si>
  <si>
    <t>J. De Villa Street, Poblacion 01, San Jose, Batangas</t>
  </si>
  <si>
    <t>J. De Villa Street, Poblacion 01, San Jose, Batangas City, 4227 Batangas, Philippines</t>
  </si>
  <si>
    <t>Old Boso-boso National High School</t>
  </si>
  <si>
    <t>Sitio Old Boso-boso</t>
  </si>
  <si>
    <t>J6QR+68C, Antipolo, 1870 Rizal, Philippines</t>
  </si>
  <si>
    <t>Olinsterg College, Inc.</t>
  </si>
  <si>
    <t>Zen Bldg., Maharlika Highway</t>
  </si>
  <si>
    <t>X85H+28H Zen Bldg, 1, Tiaong, 4325 Quezon, Philippines</t>
  </si>
  <si>
    <t>Olivarez College Tagaytay</t>
  </si>
  <si>
    <t>E. Aguinaldo Highway, Brgy. San Jose, Tagaytay City, Cavite</t>
  </si>
  <si>
    <t>4X97+F34, Tagaytay City, 4120 Cavite, Philippines</t>
  </si>
  <si>
    <t>Olongtao National High School</t>
  </si>
  <si>
    <t>Tancauco Drive</t>
  </si>
  <si>
    <t>Brgy. Olongtao Macalelon, P5MJ+247, Bayan ng Quezon, Quezon, Philippines</t>
  </si>
  <si>
    <t>Our Lady of Assumption College of Laguna</t>
  </si>
  <si>
    <t>Main Road Villa Olympia Subdivision, San Pedro City, Laguna</t>
  </si>
  <si>
    <t>82VR+C55 Our Lady of Assumption College, Villa Olympia, San Pedro, 4023 Laguna, Philippines</t>
  </si>
  <si>
    <t>Our Lady of Assumption College-Cabuyao</t>
  </si>
  <si>
    <t>Phase 2 Mabuhay City, Mamatid, Cabuyao City, Laguna</t>
  </si>
  <si>
    <t>64QX+XFH, Yakal St, Phase 6, Labuyao, 4025 Laguna, Philippines</t>
  </si>
  <si>
    <t>OUR LADY OF CARMEL SCHOOL-A.R. OF CALATAGAN, INC.</t>
  </si>
  <si>
    <t>Sto. Domingo St. Calatagan, Batangas</t>
  </si>
  <si>
    <t>RJJH+2FP, Calatagan, Batangas, Philippines</t>
  </si>
  <si>
    <t>Our Lady of Fatima University - Antipolo City</t>
  </si>
  <si>
    <t>Sumulong Highway</t>
  </si>
  <si>
    <t>J592+QR9, Sumulong Hwy, Antipolo, 1870 Rizal, Philippines</t>
  </si>
  <si>
    <t>OUR LADY OF FATIMA UNIVERSITY LAGUNA INC.</t>
  </si>
  <si>
    <t>Old National Hi-way (Manila South Road)</t>
  </si>
  <si>
    <t>Lot 2-B Manila S Rd, City of Santa Rosa, 4026 Laguna, Philippines</t>
  </si>
  <si>
    <t>Our Lady of Fatima University-Laguna</t>
  </si>
  <si>
    <t>National Highway, Brgy. Macabling, Sta. Rosa City, Laguna</t>
  </si>
  <si>
    <t>Our Lady of Lourdes Academy of Tagkawayan, Inc.</t>
  </si>
  <si>
    <t>Lagdameo Blvd.</t>
  </si>
  <si>
    <t>XG8P+XXP, Tagkawayan, Quezon, Philippines</t>
  </si>
  <si>
    <t>Our Lady of Mount Carmel Seminary</t>
  </si>
  <si>
    <t>Mabini Extention</t>
  </si>
  <si>
    <t>Mabini Extension, Cabanatuan City, Nueva Ecija, Philippines</t>
  </si>
  <si>
    <t>Our Lady of Sorrows Academy Inc.</t>
  </si>
  <si>
    <t>Cauyan St.</t>
  </si>
  <si>
    <t>2C73+W4H, Cauyan, Silanganan, Dolores, Quezon, Philippines</t>
  </si>
  <si>
    <t>OUR LADY OF THE PILLAR COLLEGE SEMINARY INC.</t>
  </si>
  <si>
    <t>Buhay na Tubig</t>
  </si>
  <si>
    <t>CW8X+6WR, Street, Imus, Cavite, Philippines</t>
  </si>
  <si>
    <t>Paagahan Integrated National High School</t>
  </si>
  <si>
    <t>Center 2, Brgy. Paagahan, Mabitac, Laguna</t>
  </si>
  <si>
    <t>CCR2+M3H, Mabitac, Laguna, Philippines</t>
  </si>
  <si>
    <t>Paaralang Sek. Ng Hen. Nakar</t>
  </si>
  <si>
    <t>Anoling</t>
  </si>
  <si>
    <t>Anoling, Pinamalayan, Oriental Mindoro, Philippines</t>
  </si>
  <si>
    <t>Paaralang Sek. Ng Lukban Integrated(formerly Paaralang Sekundarya ng Lucban)</t>
  </si>
  <si>
    <t>Nat'l. Road, Brgy. Aliliw, Lucban, Quezon</t>
  </si>
  <si>
    <t>4HQ3+WM9, Lucban, Quezon, Philippines</t>
  </si>
  <si>
    <t>Paaralang Sekundarya ng Umiray (PSU)</t>
  </si>
  <si>
    <t>Lapdok</t>
  </si>
  <si>
    <t>Umiray, General Nakar, Quezon, Philippines</t>
  </si>
  <si>
    <t>Pablo D. Maningas National High School</t>
  </si>
  <si>
    <t>Brgy. Argosino</t>
  </si>
  <si>
    <t>255J+GVW, Quezon, 4332 Quezon, Philippines</t>
  </si>
  <si>
    <t>Pacita Complex Senior High School</t>
  </si>
  <si>
    <t>Tirad Pass  St. Pacita Complex 1 San Vicente, San Pedro, Laguna</t>
  </si>
  <si>
    <t>83Q4+8MC, Tirad Pass, San Pedro, Laguna, Philippines</t>
  </si>
  <si>
    <t>Padre Garcia Integrated National High School</t>
  </si>
  <si>
    <t>Poblacion, Padre Garcia, Batangas</t>
  </si>
  <si>
    <t>Padre Vicente Garcia Memorial Academy</t>
  </si>
  <si>
    <t>Y. ZuÃ±o St.</t>
  </si>
  <si>
    <t>Ysabelo St. Brgy. B, R6W4+PFV, Rosario, Batangas, Philippines</t>
  </si>
  <si>
    <t>Paete Science and Business College</t>
  </si>
  <si>
    <t>J.P. Rizal St., Paete, Laguna</t>
  </si>
  <si>
    <t>9F7M+5VC, J.P. Rizal St, Paete, 4016 Laguna, Philippines</t>
  </si>
  <si>
    <t>PAETE SCIENCE AND BUSINESS COLLEGE INC.</t>
  </si>
  <si>
    <t>Brgy. Poblacion Dos</t>
  </si>
  <si>
    <t>Paete, Laguna, Philippines</t>
  </si>
  <si>
    <t>Pagbilao Academy, Inc.</t>
  </si>
  <si>
    <t>Paterno</t>
  </si>
  <si>
    <t>XMCP+9XH, 14 Quezon, Pagbilao, 4302 Quezon, Philippines</t>
  </si>
  <si>
    <t>Pagbilao Grande Island NHS</t>
  </si>
  <si>
    <t>Little Batangas</t>
  </si>
  <si>
    <t>Pagbilao Grande Island, Pagbilao, 4302 Quezon, Philippines</t>
  </si>
  <si>
    <t>Pagbilao NHS</t>
  </si>
  <si>
    <t>Mapagong</t>
  </si>
  <si>
    <t>Mapagong, Pagbilao, Quezon, Philippines</t>
  </si>
  <si>
    <t>Pagsangahan NHS</t>
  </si>
  <si>
    <t>Pagsangahan</t>
  </si>
  <si>
    <t>Pagsangaan, Presentacion, Camarines Sur, Philippines</t>
  </si>
  <si>
    <t>Pagsanjan Integrated National High School</t>
  </si>
  <si>
    <t>B. Cosme St.</t>
  </si>
  <si>
    <t>Cosme, Pagsanjan, Laguna, Philippines</t>
  </si>
  <si>
    <t>Pagsanjan Stand-Alone Senior High School</t>
  </si>
  <si>
    <t>E.R. Ville Street</t>
  </si>
  <si>
    <t>Pagsanjan, Laguna, Philippines</t>
  </si>
  <si>
    <t>Paharang Integrated School</t>
  </si>
  <si>
    <t>Paharang</t>
  </si>
  <si>
    <t>Paharang Silangan, Batangas City, Batangas, Philippines</t>
  </si>
  <si>
    <t>Paiisa NHS</t>
  </si>
  <si>
    <t>Paiisa</t>
  </si>
  <si>
    <t>Paiisa, Tiaong, Quezon, Philippines</t>
  </si>
  <si>
    <t>PAKIING NATIONAL HIGH SCHOOL</t>
  </si>
  <si>
    <t>Brgy. Pakiing, Mulanay, Quezon</t>
  </si>
  <si>
    <t>Brgy, Sitio Bulaksina, National Road, Pakiing, Mulanay, 4312 Quezon, Philippines</t>
  </si>
  <si>
    <t>PAKIL SENIOR HIGH SCHOOL (Stand Alone SHS No. 2 Pakil)</t>
  </si>
  <si>
    <t>V. Rarela St., Brgy. Burgos, Pakil, Laguna</t>
  </si>
  <si>
    <t>V Rarela St, Burgos, Pakil, Laguna, Philippines</t>
  </si>
  <si>
    <t>Palahanan Integrated National High School</t>
  </si>
  <si>
    <t>Palahanan II, San Juan, Batangas</t>
  </si>
  <si>
    <t>Palahanan II, San Juan, Batangas, Philippines</t>
  </si>
  <si>
    <t>Palakpak Integrated National High School</t>
  </si>
  <si>
    <t>Palakpak, Rosario, Batangas</t>
  </si>
  <si>
    <t>Paliparan II Integrated High School</t>
  </si>
  <si>
    <t>Paliparan II, Dasmarinas City Cavite</t>
  </si>
  <si>
    <t>8X4R+RMM, Paliparan 2, Dasmariñas, 4114 Cavite, Philippines</t>
  </si>
  <si>
    <t>Paliparan III SHS</t>
  </si>
  <si>
    <t>Phase 5, Paliparan III</t>
  </si>
  <si>
    <t>Block 194, Phase V, Dasmariñas, Cavite, Philippines</t>
  </si>
  <si>
    <t>Palo Alto Integrated School</t>
  </si>
  <si>
    <t>Palo Alto</t>
  </si>
  <si>
    <t>Palo-Alto, Calamba, 4027 Laguna, Philippines</t>
  </si>
  <si>
    <t>Pamampangin NHS</t>
  </si>
  <si>
    <t>Pamampangin</t>
  </si>
  <si>
    <t>Pamampangin, Lopez, Quezon, Philippines</t>
  </si>
  <si>
    <t>Pamantasan ng Cabuyao</t>
  </si>
  <si>
    <t>Katapatan Homes, Brgy. Banay-banay, Cabuyao City</t>
  </si>
  <si>
    <t>Cabuyao City, Laguna, Philippines</t>
  </si>
  <si>
    <t>Pambayang Kolehiyo ng Mauban</t>
  </si>
  <si>
    <t>African Daisy Street, Sitio Pilaway, Brgy. Polo, Mauban, Quezon</t>
  </si>
  <si>
    <t>Brgy, 5PF8+FP5, Polo, Mauban, Quezon, Philippines</t>
  </si>
  <si>
    <t>Panikihan NHS</t>
  </si>
  <si>
    <t>Maharlika Hi-way</t>
  </si>
  <si>
    <t>Pansol Integrated National High School</t>
  </si>
  <si>
    <t>Pansol, Padre Garcia, Batangas</t>
  </si>
  <si>
    <t>Pantalan Senior High School</t>
  </si>
  <si>
    <t>Pantalan, Nasugbu, Batangas</t>
  </si>
  <si>
    <t>Nasugbu, Batangas, Philippines</t>
  </si>
  <si>
    <t>Pantay Integrated High School</t>
  </si>
  <si>
    <t>Pantay Matanda, Tanauan City, Batangas</t>
  </si>
  <si>
    <t>4499+QP6, Tanauan City, Batangas, Philippines</t>
  </si>
  <si>
    <t>Panukulan NHS (Formerly San Juan NHS)</t>
  </si>
  <si>
    <t>Sapang Bato</t>
  </si>
  <si>
    <t>Sapangbato, Clark Freeport, Angeles, Pampanga, Philippines</t>
  </si>
  <si>
    <t>Paref - Northfield School for Boys, Inc.</t>
  </si>
  <si>
    <t>Sun Valley Estate</t>
  </si>
  <si>
    <t>J5VH+66C, Sun Valley W Dr, Antipolo, 1870 Rizal, Philippines</t>
  </si>
  <si>
    <t>PAREF Rosehill Preschool</t>
  </si>
  <si>
    <t>Sta. Monica Estate, Mission Hills Subdivision, HAVILA</t>
  </si>
  <si>
    <t>PAREF Rosehill School, Inc.</t>
  </si>
  <si>
    <t>Patnanungan NHS</t>
  </si>
  <si>
    <t>Poblacion</t>
  </si>
  <si>
    <t>Patnanungan, Quezon, Philippines</t>
  </si>
  <si>
    <t>Payapa Senior High School</t>
  </si>
  <si>
    <t>Payapa Ilaya, Lemery, Batangas</t>
  </si>
  <si>
    <t>Payapa Rd, Payapa Ilaya, Philippines</t>
  </si>
  <si>
    <t>Pedro Alegre Aure Senior High School</t>
  </si>
  <si>
    <t>Galicia I, Mendez</t>
  </si>
  <si>
    <t>4WH5+74X, Mendez, Cavite, Philippines</t>
  </si>
  <si>
    <t>Pedro S. Tolentino Memorial Integrated School</t>
  </si>
  <si>
    <t>Ilijan, Batangas City</t>
  </si>
  <si>
    <t>J3MC+PVR, Batangas City, Batangas, Philippines</t>
  </si>
  <si>
    <t>PELLE ACADEMY INC.</t>
  </si>
  <si>
    <t>Belvedere Towne 1, Paradahan  1, Tanza</t>
  </si>
  <si>
    <t>Belvedere Towne 1&amp;2, Section 10, Tanza, 4108 Cavite, Philippines</t>
  </si>
  <si>
    <t>Perez National High School</t>
  </si>
  <si>
    <t>Leon Guinto</t>
  </si>
  <si>
    <t>Mapagmahal, 5WVG+FQ5, Perez, Quezon, Philippines</t>
  </si>
  <si>
    <t>PHILIPPIANS MONTESSORI SCHOOL INC.</t>
  </si>
  <si>
    <t>94 Paseo Buenos Aires El Monteverde Subd., Brgy. San Juan, Taytay, Rizal</t>
  </si>
  <si>
    <t>94 Paseo, El Monteverde Subd, Paseo Buenos Aires, San Juan, Taytay, 1920 Rizal, Philippines</t>
  </si>
  <si>
    <t>PHILIPPINE HIGH SCHOOL FOR THE  ARTS</t>
  </si>
  <si>
    <t>Mt. Makiing, Los BaÃ±os, Laguna</t>
  </si>
  <si>
    <t>Nation Art Center, Mt. Makiling, Los Banos, Los Baños, 4031 Laguna, Philippines</t>
  </si>
  <si>
    <t>PHILIPPINE SCIENCE HIGH SCHOOL-CALABARZON Region Campus</t>
  </si>
  <si>
    <t>Sitio Sampaga West</t>
  </si>
  <si>
    <t>Q35R+JJG, Batangas City, Batangas, Philippines</t>
  </si>
  <si>
    <t>Philippine Technological Institute of Science Arts and Trade</t>
  </si>
  <si>
    <t>FT Catapusan St., Brgy. Plaza Aldea, Tanay Rizal</t>
  </si>
  <si>
    <t>F7WR+GM4, Tanay, Rizal, Philippines</t>
  </si>
  <si>
    <t>Philippine Technological Institute of Science Arts and Trade - Central, Inc. (Philtech Sta. Rosa)</t>
  </si>
  <si>
    <t>PhilTech Bldg. Canicosa Avenue Complex Brgy Balibago</t>
  </si>
  <si>
    <t>Philippine Technological Institute of Science Arts and Trade Inc.</t>
  </si>
  <si>
    <t>Unit I-II Plaza Aldea Town Center, 9001 Sampaloc Road, Brgy. Plaza Aldea</t>
  </si>
  <si>
    <t>Sitio lubigan, plaza aldea, Sampaloc Rd, Tanay, Rizal, Philippines</t>
  </si>
  <si>
    <t>Philippine Technological Institute of Science, Arts and Trade-Cavite</t>
  </si>
  <si>
    <t>2nd Flr. CRDM Bldg. Governor's Drive Corner Congressional road Brgy. G. Maderan,   GMA, Cavite</t>
  </si>
  <si>
    <t>CRDM Building, Congressional Rd, Maderan, General Mariano Alvarez, 4117 Cavite, Philippines</t>
  </si>
  <si>
    <t>Philippine Women's University Career Development and Continuing Education Center-Sta. Cruz</t>
  </si>
  <si>
    <t>M. H. Del Pilar St., Poblacion III, Sta. Cruz, Laguna</t>
  </si>
  <si>
    <t>7CM8+467, 1228 M. H. Del Pilar St, Santa Cruz, Laguna, Philippines</t>
  </si>
  <si>
    <t>Philippine Women's University-CDCEC - Calamba</t>
  </si>
  <si>
    <t>Alva Center Rosal St., Brgy. Uno Crossing, Calamba City, Laguna</t>
  </si>
  <si>
    <t>6544+3HW, Manila S Rd, Calamba, 4027 Laguna, Philippines</t>
  </si>
  <si>
    <t>Philippine Women's University-CDCEC-Sta. Cruz</t>
  </si>
  <si>
    <t>M. H. del Pilar St., Poblacion III, Santa Cruz, Laguna</t>
  </si>
  <si>
    <t>M. H. Del Pilar St, Santa Cruz, Laguna, Philippines</t>
  </si>
  <si>
    <t>PHILTECH INSTITUTE OF ARTS &amp; TECHNOLOGY, INC.</t>
  </si>
  <si>
    <t>Brgy. Aldoboc, Tagkawayan, Quezon</t>
  </si>
  <si>
    <t>Tagkawayan, Quezon, Philippines</t>
  </si>
  <si>
    <t>Philtech Institute of Arts and Technology Inc.</t>
  </si>
  <si>
    <t>2nd Flr., Hong Bldg., San Diego, Gumaca, Quezon</t>
  </si>
  <si>
    <t>27F C, Hong Bldg, M L Quezon St, Gumaca, Quezon, Philippines</t>
  </si>
  <si>
    <t>Philtech Institute of Arts and Technology Inc.-Catanauan, Quezon</t>
  </si>
  <si>
    <t>PIAT Bldg., Brgy. Dyes, Rotonda, Catanuan, Quezon</t>
  </si>
  <si>
    <t>H8WF+78C, Catanauan, Quezon, Philippines</t>
  </si>
  <si>
    <t>Philtech Institute of Arts and Technology Inc.-Lucena City</t>
  </si>
  <si>
    <t>2nd Floor SY Bldg., Maharlika Highway, Brgy. Ibabang Dupay, Lucena City, Quezon</t>
  </si>
  <si>
    <t>WJRF+H94, Lucena City, 4301 Quezon, Philippines</t>
  </si>
  <si>
    <t>Pila Senior High School</t>
  </si>
  <si>
    <t>69X6+J5V, Pila, Laguna, Philippines</t>
  </si>
  <si>
    <t>Pili NHS (Formerly Lutucan NHS Pili Ext.)</t>
  </si>
  <si>
    <t>Pili</t>
  </si>
  <si>
    <t>Pili, Camarines Sur, Philippines</t>
  </si>
  <si>
    <t>Pililla Academy Foundation, Inc.</t>
  </si>
  <si>
    <t>Quitiong St. Takungan, Pililla, Rizal</t>
  </si>
  <si>
    <t>Pililla Blvd, Takungan, Pililla, Rizal, Philippines</t>
  </si>
  <si>
    <t>Pililla National High School</t>
  </si>
  <si>
    <t>M. A. Roxas St.</t>
  </si>
  <si>
    <t>F8G7+RQ7, Pililla, Rizal, Philippines</t>
  </si>
  <si>
    <t>PIMSAT Colleges-Rosario Campus: Colegio de Salinas</t>
  </si>
  <si>
    <t>Scout Torrilo St., Barangay Poblacion, Rosario, Cavite</t>
  </si>
  <si>
    <t>CV84+F3Q, General Trias Dr, Cavite, 4106 Cavite, Philippines</t>
  </si>
  <si>
    <t>Pinagbayanan Integrated National High School</t>
  </si>
  <si>
    <t>Purok 5 Silangan, Pinagbayanan, Taysan, Batangas</t>
  </si>
  <si>
    <t>Q63X+9VW, Pinagbayanan, Taysan, Batangas, Philippines</t>
  </si>
  <si>
    <t>Pinagkawitan Integrated National Hgh School</t>
  </si>
  <si>
    <t>Pinagkawitan</t>
  </si>
  <si>
    <t>Pinagkawitan, Lipa City, Batangas, Philippines</t>
  </si>
  <si>
    <t>Pinagtongulan Integrated National High School</t>
  </si>
  <si>
    <t>Macasaet St. Pinagtongulan</t>
  </si>
  <si>
    <t>National Highway, Pinagtongulan, Lipa City, W3JX+FCP, Batangas City, 4217 Batangas, Philippines</t>
  </si>
  <si>
    <t>Pinamukan Integrated School</t>
  </si>
  <si>
    <t>Pinamucan Proper</t>
  </si>
  <si>
    <t>Pinamucan, Batangas City, Batangas, Philippines</t>
  </si>
  <si>
    <t>Pintong Bukawe National High School</t>
  </si>
  <si>
    <t>Pintong Bukawe</t>
  </si>
  <si>
    <t>M694+C26, San Mateo, 1870 Rizal, Philippines</t>
  </si>
  <si>
    <t>Pisipis NHS (Formerly Magallanes NHS Pisipis Extension)</t>
  </si>
  <si>
    <t>Pisipis</t>
  </si>
  <si>
    <t>Pisipis, Lopez, Quezon, Philippines</t>
  </si>
  <si>
    <t>Pitogo Community High School</t>
  </si>
  <si>
    <t>Eulalio Glinoga St.</t>
  </si>
  <si>
    <t>Q3VV+Q3X, Pitogo, Quezon, Philippines</t>
  </si>
  <si>
    <t>Placido T. Amo Senior High School</t>
  </si>
  <si>
    <t>Bugaan East, Laurel, Batangas</t>
  </si>
  <si>
    <t>2WVR+WFJ, Laurel, Batangas, Philippines</t>
  </si>
  <si>
    <t>Plaridel Integrated High School</t>
  </si>
  <si>
    <t>Banago, Nagcarlan</t>
  </si>
  <si>
    <t>Nagcarlan, Laguna, Philippines</t>
  </si>
  <si>
    <t>PNTC Colleges</t>
  </si>
  <si>
    <t>Lt. Cantimbuhan St.</t>
  </si>
  <si>
    <t>Cantimbuhan St, Dasmariñas, Cavite, Philippines</t>
  </si>
  <si>
    <t>Polillo Adventist Institute</t>
  </si>
  <si>
    <t>BaÃ±adero Road</t>
  </si>
  <si>
    <t>Polillo National High School</t>
  </si>
  <si>
    <t>Azurel St. Pob. Polillo, Quezon</t>
  </si>
  <si>
    <t>PW9R+Q5M, Bañadero, Polillo, Quezon, Philippines</t>
  </si>
  <si>
    <t>Polytechnic University of the Philippines-Biñan</t>
  </si>
  <si>
    <t>Brgy. Zapote, Biñan City, Laguna</t>
  </si>
  <si>
    <t>837H+C88, Biñan, Laguna, Philippines</t>
  </si>
  <si>
    <t>Polytechnic University of the Philippines-Calauan</t>
  </si>
  <si>
    <t>Brgy. Kanluran, Calauan, Laguna</t>
  </si>
  <si>
    <t>Kanluran, Calauan, Laguna, Philippines</t>
  </si>
  <si>
    <t>Polytechnic University of the Philippines-San Pedro</t>
  </si>
  <si>
    <t>Brgy. United Bayanihan, San Pedro City, Laguna</t>
  </si>
  <si>
    <t>82MH+QPG, United Bayanihan Proper Rd, United Bayanihan, San Pedro, 4023 Laguna, Philippines</t>
  </si>
  <si>
    <t>Polytechnic University of the Philippines-Sta. Rosa</t>
  </si>
  <si>
    <t>LCA Blvd. Brgy. Tagapo, Sta. Rosa City, Laguna</t>
  </si>
  <si>
    <t>8474+9MV, Tiongco Subdivision, City of Santa Rosa, Laguna, Philippines</t>
  </si>
  <si>
    <t>Poten &amp; Eliseo M. Quesada Memo. NHS</t>
  </si>
  <si>
    <t>Manila East Rd.,Ibaba del Norte</t>
  </si>
  <si>
    <t>9F8H+4GQ, National Hwy, Paete, Laguna, Philippines</t>
  </si>
  <si>
    <t>Power School of Technology Inc.</t>
  </si>
  <si>
    <t>516 A. Soriano Hi-Way</t>
  </si>
  <si>
    <t>Vinkristiuar Building, 516 Antero Soriano Hwy, Tanza, 4108 Cavite, Philippines</t>
  </si>
  <si>
    <t>Primitivo Kalaw Senior High School</t>
  </si>
  <si>
    <t>Palsara, Balete, Batangas</t>
  </si>
  <si>
    <t>2462+C2F, Leviste Hwy, Balete, Batangas, Philippines</t>
  </si>
  <si>
    <t>Progressive Senior High School</t>
  </si>
  <si>
    <t>Anthurium St., Progressive 3</t>
  </si>
  <si>
    <t>PROGRESSIVE 3, ANTHRIUM ST, Bacoor, Cavite, Philippines</t>
  </si>
  <si>
    <t>PTS College &amp; Advanced Studies, Inc.</t>
  </si>
  <si>
    <t>Carlos Trinidad Ave., Salitran IV, DasmariÃ±as City, Cavite</t>
  </si>
  <si>
    <t>formerly Presbyterian Theological Seminary Philippines, Carlos Trinidad Ave, Salitran, Dasmariñas, 4114 Cavite, Philippines</t>
  </si>
  <si>
    <t>Pugon NHS</t>
  </si>
  <si>
    <t>Pugon</t>
  </si>
  <si>
    <t>Pugon, San Francisco (Aurora), Quezon, Philippines</t>
  </si>
  <si>
    <t>Pulo ni Sara Integrated School</t>
  </si>
  <si>
    <t>Pulo ni Sara</t>
  </si>
  <si>
    <t>5RWC+635, Pantihan III (Pook na Munti), Maragondon, Cavite, Philippines</t>
  </si>
  <si>
    <t>Pulo Senior High School</t>
  </si>
  <si>
    <t>Brgy. Pulo,  City of Cabuyao, Laguna</t>
  </si>
  <si>
    <t>136 Manila S Rd, Pulo, Cabuyao City, 4025 Laguna, Philippines</t>
  </si>
  <si>
    <t>PWU CDCEC Calamba</t>
  </si>
  <si>
    <t>Rosal Street, Calamba City, Laguna</t>
  </si>
  <si>
    <t>6544+3HW, Bridge, Calamba, 4027 Laguna, Philippines</t>
  </si>
  <si>
    <t>Quezon Center for Research and Studies Inc.</t>
  </si>
  <si>
    <t>2nd Flr., Garcia Corp. Tower cor. Rizal &amp; Granja St., Lucena City, Quezon</t>
  </si>
  <si>
    <t>Rizal Street, corner Granja Street, Lucena City, 4301, Quezon, Lucena City, 4301 Quezon, Philippines</t>
  </si>
  <si>
    <t>Quezon National High School</t>
  </si>
  <si>
    <t>M.L. Tagarao St.</t>
  </si>
  <si>
    <t>WJM4+G53, M. L. Tagarao Street, Lucena City, 4301 Quezon, Philippines</t>
  </si>
  <si>
    <t>Quezon Science High School</t>
  </si>
  <si>
    <t>Diversion Road</t>
  </si>
  <si>
    <t>Barangay Isabang, XH69+QH9, City of Tayabas, 4327 Quezon, Philippines</t>
  </si>
  <si>
    <t>Quezonian Educational College, Inc.</t>
  </si>
  <si>
    <t>Dr.  Ramon Soler</t>
  </si>
  <si>
    <t>633 Dr Ramon Soler St, Atimonan, 4331 Quezon, Philippines</t>
  </si>
  <si>
    <t>Quisao Integrated National High School</t>
  </si>
  <si>
    <t>J. P. Rizal Street</t>
  </si>
  <si>
    <t>Quisao, Pililla, Rizal, Philippines</t>
  </si>
  <si>
    <t>R. CONCEPCION MONTESSORI SCHOOL-LEMERY INC.</t>
  </si>
  <si>
    <t>R. Diokno St. District I (Pob.)</t>
  </si>
  <si>
    <t>R. Diokno St, District I, Lemery, Batangas, Philippines</t>
  </si>
  <si>
    <t>Raises Montessori Academe of Angono Ext</t>
  </si>
  <si>
    <t>#1320 Man Rey Vill,Pag-asa, Binangonan, Rizal</t>
  </si>
  <si>
    <t>Ext, 17 Col. Guido, San Roque, Angono, 1930 Lalawigan ng Rizal, Philippines</t>
  </si>
  <si>
    <t>Recto MNHS</t>
  </si>
  <si>
    <t>Recto</t>
  </si>
  <si>
    <t>Recto, Bulan, Sorsogon, Philippines</t>
  </si>
  <si>
    <t>Red Link Institute of Science &amp; Technology</t>
  </si>
  <si>
    <t>3rd Floor, South Timberland Bldg., Km. 50, National Highway, Brgy. San Cristobal, Calamba City, Laguna</t>
  </si>
  <si>
    <t>64GR+34R, Calamba, 4027 Laguna, Philippines</t>
  </si>
  <si>
    <t>Red Link Institute of Science &amp; Technology Corp.</t>
  </si>
  <si>
    <t>3F, South Timberland Bldg., Km. 50 National Hi-way, San Cristobal, Calamba City, Laguna</t>
  </si>
  <si>
    <t>Regional Lead School for the Arts in Angono</t>
  </si>
  <si>
    <t>10th Street San Martin Subdivision</t>
  </si>
  <si>
    <t>G5Q3+MJ3, Angono, Rizal, Philippines</t>
  </si>
  <si>
    <t>Renato EdaÃ±o Vicencio NHS (Formerly Pagsangahan NHS-Don Juan Vercelos Annex)</t>
  </si>
  <si>
    <t>Don Juan Vercelos</t>
  </si>
  <si>
    <t>Don Juan Vercelos, San Francisco (Aurora), Quezon, Philippines</t>
  </si>
  <si>
    <t>Ricardo O. Macasaet Sr. Memorial Academy Foundation Inc.</t>
  </si>
  <si>
    <t>Macasaet Street</t>
  </si>
  <si>
    <t>E Macasaet St, Bagong Pook, Lipa City, Batangas, Philippines</t>
  </si>
  <si>
    <t>Rizal College of Laguna</t>
  </si>
  <si>
    <t>National Hi-way</t>
  </si>
  <si>
    <t>Rizal College of Taal</t>
  </si>
  <si>
    <t>G. Marella St. Taal, Batangas</t>
  </si>
  <si>
    <t>Rizal College of Taal, Buliran, Calle Gliceria Marella, Taal, Batangas, Philippines</t>
  </si>
  <si>
    <t>Rizal Integrated National High School</t>
  </si>
  <si>
    <t>G9P6+274, 15 Masalat Rd, Tanay, Rizal, Philippines</t>
  </si>
  <si>
    <t>Rizal Marine &amp; Technocomputer College</t>
  </si>
  <si>
    <t>San Marcos</t>
  </si>
  <si>
    <t>Rizal Marine and Technocomputer College, Inc</t>
  </si>
  <si>
    <t>No. 11 Yujuico St., Poblacion, Tabing-Ilog, Tanay, Rizal</t>
  </si>
  <si>
    <t>11 I Yujuico St, Tanay, 1980 Rizal, Philippines</t>
  </si>
  <si>
    <t>Rizal National Science High School</t>
  </si>
  <si>
    <t>J.P. Rizal St. Dalig Batingan, Binangonan, Rizal</t>
  </si>
  <si>
    <t>Binangonan, Rizal, Philippines</t>
  </si>
  <si>
    <t>Rizal Sports Academy</t>
  </si>
  <si>
    <t>Ipil-ipil Street</t>
  </si>
  <si>
    <t>Ipil-Ipil St, Angono, Rizal, Philippines</t>
  </si>
  <si>
    <t>Rizal Standard Academy</t>
  </si>
  <si>
    <t>Rizal Ave, Brgy II, Nagcarlan, Laguna</t>
  </si>
  <si>
    <t>075 Jose Rizal Ave, Nagcarlan, 4002 Laguna, Philippines</t>
  </si>
  <si>
    <t>Rizza NHS</t>
  </si>
  <si>
    <t>Sitio Peterson</t>
  </si>
  <si>
    <t>RNC TECHNICAL LEARNING CENTER</t>
  </si>
  <si>
    <t>Brgy. Sta. Maria</t>
  </si>
  <si>
    <t>X75V+244, Morato St, Barangay IV, Romblon, Quezon, Philippines</t>
  </si>
  <si>
    <t>Rogationist College</t>
  </si>
  <si>
    <t>Km 52 E. Aguinaldo Hi-way</t>
  </si>
  <si>
    <t>Km 52 Emilio Aguinaldo Hwy, Silang, 4118 Cavite, Philippines</t>
  </si>
  <si>
    <t>Rosario Integrated National High School</t>
  </si>
  <si>
    <t>San Roque, Rosario, Batangas</t>
  </si>
  <si>
    <t>San Roque, Rosario, Batangas, Philippines</t>
  </si>
  <si>
    <t>Rosario Quesada Integrated National High School</t>
  </si>
  <si>
    <t>Ibabang Nangka</t>
  </si>
  <si>
    <t>Nangka, Marikina, Metro Manila, Philippines</t>
  </si>
  <si>
    <t>Royal British College</t>
  </si>
  <si>
    <t>Brgy. Marawoy, Lipa City</t>
  </si>
  <si>
    <t>IV A - Southern Tagalog, Lipa City, 4218 Batangas, Philippines</t>
  </si>
  <si>
    <t>Royal Heirs International School Inc.</t>
  </si>
  <si>
    <t>B72 L13 &amp; 14 Ipil II</t>
  </si>
  <si>
    <t>Ipil II, Silang, Cavite, Philippines</t>
  </si>
  <si>
    <t>Rufina P. Trinidad Mem. NHS</t>
  </si>
  <si>
    <t>Dapdap</t>
  </si>
  <si>
    <t>Dapdap, City of Tayabas, 4327 Quezon, Philippines</t>
  </si>
  <si>
    <t>Ruther E. Esconde School of Multiple Intelligences, Inc.</t>
  </si>
  <si>
    <t>39 Gen. Evangelista St.</t>
  </si>
  <si>
    <t>CWXP+J6R, Tirona Hwy, Bacoor, 4102 Cavite, Philippines</t>
  </si>
  <si>
    <t>S.J.B. Saint John Bosco I.A.S. (Ampid, San Mateo Rizal) Inc.</t>
  </si>
  <si>
    <t>1752 One Princeway Building, General Luna Avenue, Ampid 2, San Mateo, Rizal</t>
  </si>
  <si>
    <t>Gen. Luna Ave, Rizal, Philippines</t>
  </si>
  <si>
    <t>Sabang National High School</t>
  </si>
  <si>
    <t>Sabang</t>
  </si>
  <si>
    <t>P6F5+PPX, Calabanga, Camarines Sur, Philippines</t>
  </si>
  <si>
    <t>Saint Anne Academy</t>
  </si>
  <si>
    <t>Purok 1, Familiar St.</t>
  </si>
  <si>
    <t>Purok 1, San Joaquin, Iloilo, Philippines</t>
  </si>
  <si>
    <t>Saint Augustine School</t>
  </si>
  <si>
    <t>Sta. Cruz St., Poblacion, Tanza, Cavite</t>
  </si>
  <si>
    <t>4108, 2 Tanza - Trece Martires Rd, Tanza, 4108 Cavite, Philippines</t>
  </si>
  <si>
    <t>Saint Benilde International School (Calamba)</t>
  </si>
  <si>
    <t>Crossing, Calamba City, Laguna</t>
  </si>
  <si>
    <t>Opulencia Compound, Crossing Street, Calamba City, 4027, Laguna, Km 50 Manila S Rd, Real, Calamba, 4029 Laguna, Philippines</t>
  </si>
  <si>
    <t>Saint Francis Academy</t>
  </si>
  <si>
    <t>F.Castillo Boulevard Poblacion, Mabini, Batangas</t>
  </si>
  <si>
    <t>PWWR+V9C, Mabini, Batangas, Philippines</t>
  </si>
  <si>
    <t>Saint Francis de Sales  Seminary High School Unit, Inc.</t>
  </si>
  <si>
    <t>#2 Calle Arzobispado (formerly San Lorenzo Ruiz Road)</t>
  </si>
  <si>
    <t>Saint Francis Institute of Computer Studies</t>
  </si>
  <si>
    <t>National Highway, San Pedro, Laguna</t>
  </si>
  <si>
    <t>9365+FQ4, Manila S Rd, San Pedro, 4023 Laguna, Philippines</t>
  </si>
  <si>
    <t>Saint Francis NHS</t>
  </si>
  <si>
    <t>TUKLAS ST.</t>
  </si>
  <si>
    <t>Tuklas St, Central Bicutan, Taguig, Metro Manila, Philippines</t>
  </si>
  <si>
    <t>Saint Francis of Assisi College - Binan</t>
  </si>
  <si>
    <t>PHASE 3, Juana Complex, Brgy. San Francisco, BiÃ±an City, Laguna</t>
  </si>
  <si>
    <t>Biñan, Laguna, Philippines</t>
  </si>
  <si>
    <t>Saint Gregory College of Science and Technology</t>
  </si>
  <si>
    <t>2nd/3rd Floor, St. Michael's Building, Manila-Cavite Rd., Brgy. 15, Sta. Cruz, Cavite City, Cavite</t>
  </si>
  <si>
    <t>15 P. Burgos Ave, Santa Cruz, Cavite, 4100 Cavite, Philippines</t>
  </si>
  <si>
    <t>Saint John Paul II Minor Seminary</t>
  </si>
  <si>
    <t>Maguey Road</t>
  </si>
  <si>
    <t>H5XR+FV6, Antipolo, 1870 Rizal, Philippines</t>
  </si>
  <si>
    <t>Saint Joseph Academy</t>
  </si>
  <si>
    <t>J. De Villa St.</t>
  </si>
  <si>
    <t>J. De Villa, San Jose, Batangas, Philippines</t>
  </si>
  <si>
    <t>Saint Matthew College</t>
  </si>
  <si>
    <t>#3 Miguel Cristi St., Ampid 2</t>
  </si>
  <si>
    <t>3 Miguel Cristi, San Mateo, Rizal, Philippines</t>
  </si>
  <si>
    <t>Saint Michael's College of Laguna</t>
  </si>
  <si>
    <t>Old National Road</t>
  </si>
  <si>
    <t>Saint Peter's School (Calauag), Inc.</t>
  </si>
  <si>
    <t>Rizal St.</t>
  </si>
  <si>
    <t>X74Q+R5P, Rizal St, Calauag, 4318 Quezon, Philippines</t>
  </si>
  <si>
    <t>Saints John &amp; Paul Educational Foundation, Inc.</t>
  </si>
  <si>
    <t>Halang, Calamba City</t>
  </si>
  <si>
    <t>Halang, Calamba, 4027 Laguna, Philippines</t>
  </si>
  <si>
    <t>Saints John and Paul Educational Foundation</t>
  </si>
  <si>
    <t>National Highway, Brgy. Halang, Calamba City, Laguna</t>
  </si>
  <si>
    <t>CDE Bldg, Chipeco Avenue Barangay III, 222 Chipeco Ave, Brgy 3, Calamba, 4027 Laguna, Philippines</t>
  </si>
  <si>
    <t>Salinas Westpoint College Inc.</t>
  </si>
  <si>
    <t>Salitran IV Integrated High School</t>
  </si>
  <si>
    <t>Mangovillr Subdivision, Barangay Salitran IV</t>
  </si>
  <si>
    <t>9W3X+FPC Mangoville, Salitran IV, Salitran, Dasmariñas, Cavite, Philippines</t>
  </si>
  <si>
    <t>Sampaloc NHS, Sampaloc</t>
  </si>
  <si>
    <t>Banot</t>
  </si>
  <si>
    <t>Banot, Sampaloc, Quezon, Philippines</t>
  </si>
  <si>
    <t>Sampiro Integrated Senior High School</t>
  </si>
  <si>
    <t>Sampiro, San Juan, Batangas</t>
  </si>
  <si>
    <t>Sampiro, San Juan, Batangas, Philippines</t>
  </si>
  <si>
    <t>Samuel Christian College of Gen. Trias, Inc.</t>
  </si>
  <si>
    <t>F. Manalo St., Navarro, Gen. Trias, Cavite</t>
  </si>
  <si>
    <t>Arnaldo Hwy, General Trias, Cavite, Philippines</t>
  </si>
  <si>
    <t>San Agapito Integrated High School</t>
  </si>
  <si>
    <t>San Agapito, Isla Verde</t>
  </si>
  <si>
    <t>San Agapito, Isla Verde, Batangas City, Batangas, Philippines</t>
  </si>
  <si>
    <t>San Agustin Integrated School</t>
  </si>
  <si>
    <t>San Agustin Silangan, Isla Verde</t>
  </si>
  <si>
    <t>3M29+9VX, Brgy. San Agustin Road, San Fernando, 2000 Pampanga, Philippines</t>
  </si>
  <si>
    <t>San Andres NHS ( formerly Camflora NHS)</t>
  </si>
  <si>
    <t>Fernandez</t>
  </si>
  <si>
    <t>Camflora, San Andres, Quezon, Philippines</t>
  </si>
  <si>
    <t>San Antonio De Padua College</t>
  </si>
  <si>
    <t>National Highway, Pila, Laguna</t>
  </si>
  <si>
    <t>National Hwy, Pila, 4010 Laguna, Philippines</t>
  </si>
  <si>
    <t>San Antonio Integrated National High School</t>
  </si>
  <si>
    <t>Sitio Lunao</t>
  </si>
  <si>
    <t>San Antonio, TX, USA</t>
  </si>
  <si>
    <t>San Antonio NHS</t>
  </si>
  <si>
    <t>V7QP+JG9 San Antonio National High School, San Antonio, Quezon, Philippines</t>
  </si>
  <si>
    <t>San Bartolome Integrated High School</t>
  </si>
  <si>
    <t>Brgy. San Bartolome</t>
  </si>
  <si>
    <t>27FP+3F6, San Bartolome, San Pablo City, Laguna, Philippines</t>
  </si>
  <si>
    <t>San Buenaventura Integrated National High School-Main</t>
  </si>
  <si>
    <t>Bgy. San Buenaventura</t>
  </si>
  <si>
    <t>San Buenaventura, Luisiana, Laguna, Philippines</t>
  </si>
  <si>
    <t>San Celestino Integrated National High School</t>
  </si>
  <si>
    <t>Purok 1</t>
  </si>
  <si>
    <t>San Cristobal Integrated High School</t>
  </si>
  <si>
    <t>Brgy. San Cristobal</t>
  </si>
  <si>
    <t>29GH+34X, San Pablo City, Laguna, Philippines</t>
  </si>
  <si>
    <t>San Francisco B NHS</t>
  </si>
  <si>
    <t>Lopez-Catanauan Road</t>
  </si>
  <si>
    <t>San Francisco B, Lopez, Quezon, Philippines</t>
  </si>
  <si>
    <t>San Francisco Integrated National High School</t>
  </si>
  <si>
    <t>San Francisco Parochial Academy, Inc.</t>
  </si>
  <si>
    <t>Capt. V. NapeÃ±as St.</t>
  </si>
  <si>
    <t>San Guillermo National High School</t>
  </si>
  <si>
    <t>Cosep St.</t>
  </si>
  <si>
    <t>103 Laderas St, San Marcelino, Zambales, Philippines</t>
  </si>
  <si>
    <t>San Isidro Integrated High School</t>
  </si>
  <si>
    <t>Purok 2, San Joaquin, Iloilo, Philippines</t>
  </si>
  <si>
    <t>San Isidro Integrated National High School</t>
  </si>
  <si>
    <t>San Isidro, Lipa City</t>
  </si>
  <si>
    <t>X653+JPC, Lipa City, Batangas, Philippines</t>
  </si>
  <si>
    <t>San Isidro Integrated School (formerly San Isidro NHS, Tagkawayan)</t>
  </si>
  <si>
    <t>San Isidro, San Fernando, Pampanga, Philippines</t>
  </si>
  <si>
    <t>San Isidro National High School</t>
  </si>
  <si>
    <t>Barangay San Isidro, Catanauan</t>
  </si>
  <si>
    <t>J6MR+5C7, Catanauan, 4311 Quezon, Philippines</t>
  </si>
  <si>
    <t>SAN ISIDRO NATIONAL HIGH SCHOOL, PADRE BURGOS</t>
  </si>
  <si>
    <t>San Isidro, Padre Burgos, Quezon, Philippines</t>
  </si>
  <si>
    <t>San Isidro NHS, Gen. Luna</t>
  </si>
  <si>
    <t>San Isidro Ilaya</t>
  </si>
  <si>
    <t>San Isidro Ilaya, General Luna, Quezon, Philippines</t>
  </si>
  <si>
    <t>San Isidro Senior High School</t>
  </si>
  <si>
    <t>P5X5+P68, Rodriguez, Metro Manila, Philippines</t>
  </si>
  <si>
    <t>San Isidro-Malvar Senior High School</t>
  </si>
  <si>
    <t>San Jose Community High School</t>
  </si>
  <si>
    <t>Nicolasa Virata</t>
  </si>
  <si>
    <t>82JP+45V, San Pedro, Cavite, Philippines</t>
  </si>
  <si>
    <t>San Jose Integrated High School</t>
  </si>
  <si>
    <t>Brgy. San Jose</t>
  </si>
  <si>
    <t>San Jose, Urdaneta City, Pangasinan, Philippines</t>
  </si>
  <si>
    <t>San Jose Litex Senior High School</t>
  </si>
  <si>
    <t>Litex Subd.,</t>
  </si>
  <si>
    <t>Litex Subdivision, P4PJ+522, Rodriguez, Rizal, Philippines</t>
  </si>
  <si>
    <t>San Jose Litex SHS</t>
  </si>
  <si>
    <t>Lot 1 Block 9 Litex Subdivision, San Jose, Rodriguez, Rizal</t>
  </si>
  <si>
    <t>San Jose NHS</t>
  </si>
  <si>
    <t>Sen. Lorenzo Sumulong Memorial Circle, Sitio Pulong Banal</t>
  </si>
  <si>
    <t>H5MJ+VJ2, Antipolo, 1870 Rizal, Philippines</t>
  </si>
  <si>
    <t>San Jose NHS (Formerly Tagbacan Ilaya Integ. Sec. Ext. Classes)</t>
  </si>
  <si>
    <t>San Jose Anyao</t>
  </si>
  <si>
    <t>San Jose (Anyao), Catanauan, Quezon, Philippines</t>
  </si>
  <si>
    <t>San Juan Institute of Technology</t>
  </si>
  <si>
    <t>Mabalanoy</t>
  </si>
  <si>
    <t>0, Mabalanoy, San Juan, 4226 Batangas, Philippines</t>
  </si>
  <si>
    <t>San Juan National High School</t>
  </si>
  <si>
    <t>Sitio Sapinit</t>
  </si>
  <si>
    <t>Sapinit, San Carlos City, Pangasinan, Philippines</t>
  </si>
  <si>
    <t>San Juan Senior High School</t>
  </si>
  <si>
    <t>Lipahan, San Juan, Batangas</t>
  </si>
  <si>
    <t>R9JX+H42, San Juan, Batangas, Philippines</t>
  </si>
  <si>
    <t>San Luis Academy, Inc.</t>
  </si>
  <si>
    <t>Calumpang West, San Luis, Batangas</t>
  </si>
  <si>
    <t>RXVF+532, Calumpang West, San Luis, Batangas, Philippines</t>
  </si>
  <si>
    <t>San Luis Senior High School</t>
  </si>
  <si>
    <t>Calumpang East, San Luis, Batangas</t>
  </si>
  <si>
    <t>RXVF+CFR, San Luis, Batangas, Philippines</t>
  </si>
  <si>
    <t>San Mateo Senior High School</t>
  </si>
  <si>
    <t>Sta. Cecilia Subdivision Guitnangbayan I8</t>
  </si>
  <si>
    <t>M4RC+W26, San Mateo, Rizal, Philippines</t>
  </si>
  <si>
    <t>San Miguel National High School</t>
  </si>
  <si>
    <t>Sitio Ilang-Ilang, Brgy. San Miguel, Mabitac</t>
  </si>
  <si>
    <t>San Miguel, Compostela, Davao de Oro, Philippines</t>
  </si>
  <si>
    <t>San Nicolas Integrated High School</t>
  </si>
  <si>
    <t>Calangay</t>
  </si>
  <si>
    <t>San Pablo Christian School</t>
  </si>
  <si>
    <t>77 Schetelig Avenue</t>
  </si>
  <si>
    <t>18D Werner Schetelig Ave, Barangay III-D, San Pablo City, 4000 Laguna, Philippines</t>
  </si>
  <si>
    <t>San Pablo City Integrated High School</t>
  </si>
  <si>
    <t>F. MariÃ±o St. Lakeside Park Subd.</t>
  </si>
  <si>
    <t>Lakeside Park Subd, 317 F. Mariño St, Brgy, San Pablo City, 4000 Laguna, Philippines</t>
  </si>
  <si>
    <t>San Pablo City Science Integrated High School</t>
  </si>
  <si>
    <t>387R+VXC, San Pablo City, Laguna, Philippines</t>
  </si>
  <si>
    <t>San Pablo Colleges</t>
  </si>
  <si>
    <t>Hermanos Belen St., San Pablo City, Laguna</t>
  </si>
  <si>
    <t>San Pablo Colleges, 3a Hermanos Belen Street, San Pablo City, 4000 Laguna, Philippines</t>
  </si>
  <si>
    <t>San Pascual Senior High School 1</t>
  </si>
  <si>
    <t>San Antonio, San Pascual, Batangas</t>
  </si>
  <si>
    <t>Q2P9+CGF, San Pascual, Batangas, Philippines</t>
  </si>
  <si>
    <t>San Pascual Senior High School 2</t>
  </si>
  <si>
    <t>Malaking Pook, San Pascual, Batangas</t>
  </si>
  <si>
    <t>San Pedro College of Business Administration</t>
  </si>
  <si>
    <t>Km 30 Old National Highway, Brgy. Nueva, San Pedro City, Laguna</t>
  </si>
  <si>
    <t>KM30 National Highway, San Pedro, 4023 Laguna, Philippines</t>
  </si>
  <si>
    <t>San Pedro Relocation Center National High School, Main (Langgam) Campus</t>
  </si>
  <si>
    <t>Imelda Avenue, Old tenant</t>
  </si>
  <si>
    <t>82GC+W27 San Pedro Relocation Center National High School, San Pedro, 4023 Laguna, Philippines</t>
  </si>
  <si>
    <t>San Roque NHS</t>
  </si>
  <si>
    <t>#15 Marigman Street Brgy. San Roque</t>
  </si>
  <si>
    <t>H5HC+2M2, Marigman St., Antipolo, 1870 Rizal, Philippines</t>
  </si>
  <si>
    <t>San Roque NHS, Catanauan</t>
  </si>
  <si>
    <t>San Roque</t>
  </si>
  <si>
    <t>Catanauan, Quezon, Philippines</t>
  </si>
  <si>
    <t>San Roque Parochial School, Inc.</t>
  </si>
  <si>
    <t>Birds of Paradise St.</t>
  </si>
  <si>
    <t>Birds Of Paradise St, Barangay 188, Caloocan, Metro Manila, Philippines</t>
  </si>
  <si>
    <t>San Roque-Ilaya NHS, Calauag</t>
  </si>
  <si>
    <t>San Roque Ilaya</t>
  </si>
  <si>
    <t>San Roque Ilaya, Calauag, Quezon, Philippines</t>
  </si>
  <si>
    <t>San Sebastian College-Recoletos - Canlubang</t>
  </si>
  <si>
    <t>Carmelray Industrial Park 1, Canlubang, Calamba City, Laguna</t>
  </si>
  <si>
    <t>Carmelray Boulevard, Carmelray Industrial Park 1, Canlubang, Calamba, 4028 Laguna, Philippines</t>
  </si>
  <si>
    <t>San Vicente Integrated High School</t>
  </si>
  <si>
    <t>Brgy. San Vicente</t>
  </si>
  <si>
    <t>San Vicente, Palawan, Philippines</t>
  </si>
  <si>
    <t>San Vicente Kanluran NHS</t>
  </si>
  <si>
    <t>San Vicente Kanluran</t>
  </si>
  <si>
    <t>San Vicente Kanluran, Catanauan, Quezon, Philippines</t>
  </si>
  <si>
    <t>Sangley Point NHS</t>
  </si>
  <si>
    <t>La Naval Brgy 53B Sangley Point</t>
  </si>
  <si>
    <t>FWV6+XHV, 1898 Ave, San Antonio, Cavite, Philippines</t>
  </si>
  <si>
    <t>Sanmandelcar National High School</t>
  </si>
  <si>
    <t>Purok Kurba</t>
  </si>
  <si>
    <t>XCJ5+524, Manato Station, Tagkawayan, Quezon, Philippines</t>
  </si>
  <si>
    <t>Santa Cruz Integrated National High School</t>
  </si>
  <si>
    <t>Brgy. Oogong</t>
  </si>
  <si>
    <t>Oogong, Santa Cruz, Laguna, Philippines</t>
  </si>
  <si>
    <t>Santa Rosa Science and Technology High School</t>
  </si>
  <si>
    <t>JP Rizal Blvd. Market Area</t>
  </si>
  <si>
    <t>8486+JGF, JP Rizal St, City of Santa Rosa, Laguna, Philippines</t>
  </si>
  <si>
    <t>Santiago Integrated National High School</t>
  </si>
  <si>
    <t>8WW4+2FH, Sulukan, General Trias, 4107 Cavite, Philippines</t>
  </si>
  <si>
    <t>Santiago Malvar Senior High School</t>
  </si>
  <si>
    <t>Barangay Santiago, Malvar, Batangas</t>
  </si>
  <si>
    <t>Santisimo Rosario Integrated High School</t>
  </si>
  <si>
    <t>Purok Ilaya</t>
  </si>
  <si>
    <t>Ilaya, Dapitan City, Zamboanga del Norte, Philippines</t>
  </si>
  <si>
    <t>Sapphire International Aviation Academy</t>
  </si>
  <si>
    <t>Brgy. Santor</t>
  </si>
  <si>
    <t>Barradas Airstrip, Tanauan City, 4232 Batangas, Philippines</t>
  </si>
  <si>
    <t>Sariaya Institute, Inc.</t>
  </si>
  <si>
    <t>Gala St</t>
  </si>
  <si>
    <t>05 Gala St, Sariaya, 4322 Quezon, Philippines</t>
  </si>
  <si>
    <t>Schola Angelicus, Inc.</t>
  </si>
  <si>
    <t>NIA Road</t>
  </si>
  <si>
    <t>NIA Rd, Diliman, Quezon City, Metro Manila, Philippines</t>
  </si>
  <si>
    <t>Science Technology Institute of Rosario Cavite, Inc.</t>
  </si>
  <si>
    <t>Lolo polo Bldg, Gen. Trias Drive, Tejero, Rosario, Cavite</t>
  </si>
  <si>
    <t>9VX6+HCX Lolo Polo Building, Genearal Trias Drive, Tejero, Rosario, 4106 Cavite, Philippines</t>
  </si>
  <si>
    <t>Senior High School-Dulong Bayan</t>
  </si>
  <si>
    <t>Sarino St.</t>
  </si>
  <si>
    <t>Sarino St, Dulong Bayan, Bacoor, Cavite, Philippines</t>
  </si>
  <si>
    <t>SERVITECH INSTITUTE ASIA INC.</t>
  </si>
  <si>
    <t>RJT Bldg., 162 Magsaysay Ave.,</t>
  </si>
  <si>
    <t>162 R. Magsaysay Ave, San Pedro, Laguna, Philippines</t>
  </si>
  <si>
    <t>SHS in Batangas City (Sports)</t>
  </si>
  <si>
    <t>SHS in San Nicholas III, Bacoor City</t>
  </si>
  <si>
    <t>Gold St.</t>
  </si>
  <si>
    <t>Bacoor, Cavite, Philippines</t>
  </si>
  <si>
    <t>SHS within Bacoor Elementary School</t>
  </si>
  <si>
    <t>Gen. Evangelista St.</t>
  </si>
  <si>
    <t>Gen. Evangelista Street, Bacoor, Cavite, Philippines</t>
  </si>
  <si>
    <t>SHS within Canda ES</t>
  </si>
  <si>
    <t>Canda, Balayan, Batangas</t>
  </si>
  <si>
    <t>Canda, Balayan, Batangas, Philippines</t>
  </si>
  <si>
    <t>SHS within Santol ES</t>
  </si>
  <si>
    <t>SANTOL</t>
  </si>
  <si>
    <t>Santol, La Union, Philippines</t>
  </si>
  <si>
    <t>SHS within Sineguelasan Elementary School</t>
  </si>
  <si>
    <t>Miranda St.</t>
  </si>
  <si>
    <t>FW5G+MVW, E3, Extension, Bacoor, 4102 Cavite, Philippines</t>
  </si>
  <si>
    <t>Sico 1.0 Integrated National High School</t>
  </si>
  <si>
    <t>Sico 1.0, San Juan, Batangas</t>
  </si>
  <si>
    <t>Sico 1.0, San Juan, Batangas, none, San Juan, 4226 Batangas, Philippines</t>
  </si>
  <si>
    <t>Silangan National High School</t>
  </si>
  <si>
    <t>Old Army Rd</t>
  </si>
  <si>
    <t>Brgy. Silangan, 1850, blk13 lot 7, 4A Old Army Rd, Silangan, San Mateo, Rizal, Philippines</t>
  </si>
  <si>
    <t>Silangang Malicboy NHS</t>
  </si>
  <si>
    <t>Silangang Malicboy</t>
  </si>
  <si>
    <t>Silangan Malicboy, Pagbilao, 4302 Quezon, Philippines</t>
  </si>
  <si>
    <t>Sinalhan Integrated High School</t>
  </si>
  <si>
    <t>Purok 3, Barangay Sinalhan</t>
  </si>
  <si>
    <t>84J5+8VC, Prk 3 Brgy Sinalhan, City of Santa Rosa, Laguna, Philippines</t>
  </si>
  <si>
    <t>Siniloan Integrated National High School</t>
  </si>
  <si>
    <t>L. De Leon St., Siniloan, Laguna</t>
  </si>
  <si>
    <t>J. De Leon St, Barangay I, Santa Cruz, Laguna, Philippines</t>
  </si>
  <si>
    <t>Sirang Lupa National High School</t>
  </si>
  <si>
    <t>Sirang Lupa, Calamba City</t>
  </si>
  <si>
    <t>Sirang Lupa, Calamba, 4027 Laguna, Philippines</t>
  </si>
  <si>
    <t>Sisters of Mary of Banneux, Inc.</t>
  </si>
  <si>
    <t>Biga II, Silang, Cavite</t>
  </si>
  <si>
    <t>- Biga, 7X6G+4J2, Emilio Aguinaldo Hwy, Silang, Cavite, Philippines</t>
  </si>
  <si>
    <t>Sisters of Mary School-Adlas, Inc.</t>
  </si>
  <si>
    <t>Adlas, Silang, Cavite</t>
  </si>
  <si>
    <t>Barangay, 7X58+9PF, Silang, Cavite, Philippines</t>
  </si>
  <si>
    <t>Skill Power Institute, Inc.</t>
  </si>
  <si>
    <t>M. L. Quezon Ave. Ext., San Roque, Antipolo City, Rizal</t>
  </si>
  <si>
    <t>M. L. Quezon Ave, San Roque, Antipolo, 1870 Rizal, Philippines</t>
  </si>
  <si>
    <t>South Forbes City College Corp.</t>
  </si>
  <si>
    <t>Brgy. Inchican, Silang, Cavite</t>
  </si>
  <si>
    <t>South Blvd, Silang, 4118 Cavite, Philippines</t>
  </si>
  <si>
    <t>Southbay Montessori School and Colleges</t>
  </si>
  <si>
    <t>Sitio Huwaran, Barangay Pagsawitan, Sta. Cruz, Laguna</t>
  </si>
  <si>
    <t>Sitio Huwaran, Santa Cruz, 4009 Laguna, Philippines</t>
  </si>
  <si>
    <t>Southdale International School of Sciences, Arts and Technology (formerly Imus Business and Technology College (IBTC), Inc.)</t>
  </si>
  <si>
    <t>NIA Road, Brgy. Bago 2, 3rd District, City of Imus, Cavite</t>
  </si>
  <si>
    <t>CWCF+W9R, N.I.A. Rd, Carsadang Bago II, Imus, 4103 Cavite, Philippines</t>
  </si>
  <si>
    <t>Southern Luzon Academy, Inc.</t>
  </si>
  <si>
    <t>F. Balagtas cor. DoÃ±a Carmen De Luna Sts.</t>
  </si>
  <si>
    <t>Southern Luzon State University-Laboratory School</t>
  </si>
  <si>
    <t>Brgy. Kulapi</t>
  </si>
  <si>
    <t>4H66+QWX Southern Luzon State University, Lucban, 4328 Quezon, Philippines</t>
  </si>
  <si>
    <t>Southern Philippines Institute of Science and Technology Inc.</t>
  </si>
  <si>
    <t>Carsadang Bago II</t>
  </si>
  <si>
    <t>Blk 9, Lot 5 N.I.A. Rd, Carsadang Bago II, Imus, Cavite, Philippines</t>
  </si>
  <si>
    <t>SOUTHVILLE 5-A INTEGRATED NATIONAL HIGH SCHOOL</t>
  </si>
  <si>
    <t>Southville 5-A Brgy. Langkiwa, Binan City, Laguna</t>
  </si>
  <si>
    <t>Southville 5A. Barangay Langkiwa, Biñan, Laguna, Philippines</t>
  </si>
  <si>
    <t>Southville 8B Senior High School</t>
  </si>
  <si>
    <t>Laylayan, Phase 4, SDouthville 8B, San Isidro Rodriguez, Rizal</t>
  </si>
  <si>
    <t>P5X2+FVJ, Rodriguez, Rizal, Philippines</t>
  </si>
  <si>
    <t>Southville I Integrated National High School</t>
  </si>
  <si>
    <t>-BLK54-55 Southville 1</t>
  </si>
  <si>
    <t>SPI Systems Colleges, Inc.</t>
  </si>
  <si>
    <t>#31 M.L. Quezon Avenue Extension</t>
  </si>
  <si>
    <t>St. Augustine International School-BiÃ±an, Laguna</t>
  </si>
  <si>
    <t>St. Augustine School of Nursing-Lipa City</t>
  </si>
  <si>
    <t>JM Katigbak St. Mataas na Lupa, Lipa City Batangas</t>
  </si>
  <si>
    <t>St. Augustine School of Nursing-Lucena City</t>
  </si>
  <si>
    <t>Carlos City Center, M.L. Tagarao Street, corner Quezon Ave., Lucena City</t>
  </si>
  <si>
    <t>WJP7+MC5, M. L. Tagarao Street, Lucena City, 4301 Quezon, Philippines</t>
  </si>
  <si>
    <t>ST. BENILDE COLLEGE OF SCIENCE AND TECHNOLOGY AND ASSESSMENT CENTER (SILANG CAVITE), INC.</t>
  </si>
  <si>
    <t>50 Km. Aguinaldo Hiway, Lalaan II</t>
  </si>
  <si>
    <t>St. Blaise Community Academy</t>
  </si>
  <si>
    <t>R. Diokno St.</t>
  </si>
  <si>
    <t>St. Claire School of Lipa Batangas Inc.</t>
  </si>
  <si>
    <t>Aya, San Jose, Batangas</t>
  </si>
  <si>
    <t>Aya, San Jose, Batangas, Philippines</t>
  </si>
  <si>
    <t>St. Clare Community Foundation School Inc.</t>
  </si>
  <si>
    <t>3W9Q+X8C, Leviste Bridge I, Laurel, Batangas, Philippines</t>
  </si>
  <si>
    <t>St. Constantine Institute of Science and Technology Inc.</t>
  </si>
  <si>
    <t>National Rd. Brgy. San Carlos, Binangonan, Rizal</t>
  </si>
  <si>
    <t>San Carlos, Binangonan, Rizal, Philippines</t>
  </si>
  <si>
    <t>ST. DOMINIC SAVIO COLLEGE</t>
  </si>
  <si>
    <t>Ibaan, Batangas</t>
  </si>
  <si>
    <t>J.P Rizal, Ibaan, 4230 Batangas, Philippines</t>
  </si>
  <si>
    <t>St. Edward School Foundation Inc.</t>
  </si>
  <si>
    <t>Kensington 23, Lancaster New City</t>
  </si>
  <si>
    <t>Lancaster New City, Kensington 23, General Trias, 4107 Cavite, Philippines</t>
  </si>
  <si>
    <t>St. Faustina School of Guitnangbayan Inc.</t>
  </si>
  <si>
    <t>13 Leal Comp.</t>
  </si>
  <si>
    <t>Guitnang Bayan I, San Mateo, Rizal, Philippines</t>
  </si>
  <si>
    <t>St. Ignatius Technical Institute of Business and Arts</t>
  </si>
  <si>
    <t>3rd Flr., Don Francisco M. Tan Gana Bldg., Brgy. Balibago, Sta. Rosa City, Laguna</t>
  </si>
  <si>
    <t>Don Francisco M.Tangana Bldg, Natioal Highway, Balibago, City of Laguna, 4026 Laguna, Philippines</t>
  </si>
  <si>
    <t>ST. IGNATIUS TECHNICAL INSTITUTE OF BUSINESS AND ARTS INC.</t>
  </si>
  <si>
    <t>3447 NATIONAL HIGHWAY, BRGY. BANAYBANAY, CABUYAO, LAGUNA</t>
  </si>
  <si>
    <t>San Cristobal Bridge, Calamba, 4027 Laguna, Philippines</t>
  </si>
  <si>
    <t>St. Ignatius Technical Institute of Business and Arts-Biñan</t>
  </si>
  <si>
    <t>Brgy. Canlalay, Biñan City, Laguna</t>
  </si>
  <si>
    <t>Reyes' Building, Manila S Rd, Biñan, Laguna, Philippines</t>
  </si>
  <si>
    <t>St. Ignatius Technical Institute of Business and Arts-Cabuyao</t>
  </si>
  <si>
    <t>3447 National Highway, Brgy. Banaybanay, Cabuyao City, Laguna</t>
  </si>
  <si>
    <t>St. Ignatius Technical Institute of Business and Arts-Sta. Rosa</t>
  </si>
  <si>
    <t>3rd Floor, VTG Bldg., Old National Highway, Brgy. Balibago, Sta. Rosa City, Laguna</t>
  </si>
  <si>
    <t>3rd Flr Don Francisco M. Tan Gana Bldg, Manila S Rd, Balibago, City of Santa Rosa, 4026 Cavite, Philippines</t>
  </si>
  <si>
    <t>St. John Colleges</t>
  </si>
  <si>
    <t>Chipeco Avenue, Calamba City, Laguna</t>
  </si>
  <si>
    <t>St. Joseph Academy</t>
  </si>
  <si>
    <t>J. De Villa Street, Poblacion 4, San Jose, Batangas</t>
  </si>
  <si>
    <t>St. Joseph Parish School, Inc.</t>
  </si>
  <si>
    <t>San Jose St.,</t>
  </si>
  <si>
    <t>St. Joseph's High School</t>
  </si>
  <si>
    <t>Sosing M. Tan</t>
  </si>
  <si>
    <t>St. Jude College DasmariÃ±as Cavite, Inc.</t>
  </si>
  <si>
    <t>URC Ave. Salawag, Salitran, DasmariÃ±as City, Cavite</t>
  </si>
  <si>
    <t>8WXV+RWR, Congressional Ave, Salitran, Dasmariñas, Cavite, Philippines</t>
  </si>
  <si>
    <t>St. Lawrence Academy Foundation</t>
  </si>
  <si>
    <t>San Lorenzo</t>
  </si>
  <si>
    <t>San Lorenzo, Guimaras, Philippines</t>
  </si>
  <si>
    <t>St. Louis Anne Colleges of San Pedro</t>
  </si>
  <si>
    <t>Old National Highway, Brgy. Nueva, San Pedro City, Laguna</t>
  </si>
  <si>
    <t>1220 National Road, San Pedro, 4023 Laguna, Philippines</t>
  </si>
  <si>
    <t>St. Mary Magdalene Colleges of Laguna</t>
  </si>
  <si>
    <t>Brgy. Uwisan, Calamba City, Laguna</t>
  </si>
  <si>
    <t>Purok 1 Bridge, Calamba, 4027 Laguna, Philippines</t>
  </si>
  <si>
    <t>St. Mary Magdalene Colleges of Laguna, Inc.</t>
  </si>
  <si>
    <t>Purok 1, Uwisan</t>
  </si>
  <si>
    <t>St. Mary's Academy of Nagcarlan Laguna, Inc.</t>
  </si>
  <si>
    <t>035 Banahaw St.</t>
  </si>
  <si>
    <t>4CP9+P47, Nagcarlan, Laguna, Philippines</t>
  </si>
  <si>
    <t>ST. MARYS ACADEMY OF TECHNOLOGY LUCENA INC.</t>
  </si>
  <si>
    <t>2/F G.L.T. Bldg. 118 Merchan St. or. Cabana St., Barangay 4</t>
  </si>
  <si>
    <t>118 Merchan St, Lucena City, 4301 Quezon, Philippines</t>
  </si>
  <si>
    <t>St. Michael TVET Training and Assessment Center Inc.</t>
  </si>
  <si>
    <t>3rd Flr., Pagkatipunan Bldg., Profugo corner Merchant St.</t>
  </si>
  <si>
    <t>3/F Pagkatipunan Building, Profugo, Corner Merchan St, Lucena City, 4301 Quezon, Philippines</t>
  </si>
  <si>
    <t>St. Peregrine Institute</t>
  </si>
  <si>
    <t>144 Gen.Evangelista St.</t>
  </si>
  <si>
    <t>144 Gen. Evangelista Street, Bacoor, 4102 Cavite, Philippines</t>
  </si>
  <si>
    <t>St. Peter's College Seminary</t>
  </si>
  <si>
    <t>Werner Schetelig Ave, San Pablo City, Laguna</t>
  </si>
  <si>
    <t>38FP+G4P, Concepcion, San Pablo City, Laguna, Philippines</t>
  </si>
  <si>
    <t>St. Raphael College of Business and Arts Inc.</t>
  </si>
  <si>
    <t>M.L. Quezon Ave.</t>
  </si>
  <si>
    <t>Manuel L. Quezon Ave, Real, 4335 Quezon, Philippines</t>
  </si>
  <si>
    <t>St. Simon Montessori</t>
  </si>
  <si>
    <t>National Road Brgy. Crossing, Calamba City, Laguna</t>
  </si>
  <si>
    <t>6534+V2V, Real Rd, Barangay 1, Calamba, 4027 Laguna, Philippines</t>
  </si>
  <si>
    <t>St. Therese College of Arts and Sciences</t>
  </si>
  <si>
    <t>Brgy. Bulihan Sur, Pila, Laguna</t>
  </si>
  <si>
    <t>National Hwy, Pila, Laguna, Philippines</t>
  </si>
  <si>
    <t>St. Thomas Academy</t>
  </si>
  <si>
    <t>Poblacion 3</t>
  </si>
  <si>
    <t>Poblacion 3, Pasuquin, Ilocos Norte, Philippines</t>
  </si>
  <si>
    <t>St. Valens College of Business and Arts</t>
  </si>
  <si>
    <t>J.P. Rizal</t>
  </si>
  <si>
    <t>St. Vincent College of Cabuyao</t>
  </si>
  <si>
    <t>#54 Mamatid, Cabuyao City, Laguna</t>
  </si>
  <si>
    <t>SVCC Complex, 55 Mamatid Rd, Mamatid, Cabuyao City, 4025 Laguna, Philippines</t>
  </si>
  <si>
    <t>Sta. Catalina College</t>
  </si>
  <si>
    <t>Sta. Catalina</t>
  </si>
  <si>
    <t>Sta. Catalina, Binalonan, Pangasinan, Philippines</t>
  </si>
  <si>
    <t>Sta. Catalina Integrated National High School</t>
  </si>
  <si>
    <t>M. H. Del Pilar St. Brgy. San Miguel Majayjay, Laguna</t>
  </si>
  <si>
    <t>4FRC+V2M, Sta. Catalina, Majayjay, 4005 Laguna, Philippines</t>
  </si>
  <si>
    <t>Sta. Catalina National High School</t>
  </si>
  <si>
    <t>Sta. Catalina Sur</t>
  </si>
  <si>
    <t>VCFJ+J2P, Rosario - San Juan - Candelaria Rd, Candelaria, Quezon, Philippines</t>
  </si>
  <si>
    <t>Sta. Clara Integrated National High School</t>
  </si>
  <si>
    <t>Sta. Clara, Sto. Tomas City, Batangas</t>
  </si>
  <si>
    <t>26F3+JHJ, Sto. Tomas-Alaminos Rd, Santo Tomas, Batangas, Philippines</t>
  </si>
  <si>
    <t>STA. CRUZ NATIONAL HIGH SCHOOL</t>
  </si>
  <si>
    <t>Sta. Cruz</t>
  </si>
  <si>
    <t>Sta Cruz National High School, Lubao, Pampanga, Philippines</t>
  </si>
  <si>
    <t>Sta. Ines National High School</t>
  </si>
  <si>
    <t>Estefania St.</t>
  </si>
  <si>
    <t>HF8R+H9W, Santa Ignacia, Tarlac, Philippines</t>
  </si>
  <si>
    <t>Sta. Lucia NHS (Formerly Dagatan NHS Annex - Sta. Lucia)</t>
  </si>
  <si>
    <t>Sitio Balete</t>
  </si>
  <si>
    <t>Balete, Batangas, Philippines</t>
  </si>
  <si>
    <t>Sta. Maria Integrated High School</t>
  </si>
  <si>
    <t>NUSEDELA St.</t>
  </si>
  <si>
    <t>FC9F+FPC, C5, Santa Maria, Laguna, Philippines</t>
  </si>
  <si>
    <t>Sta. Teresita National High School</t>
  </si>
  <si>
    <t>Bihis, Sta. Teresita, Batangas</t>
  </si>
  <si>
    <t>VXJ8+279, Santa Teresita, Batangas, Philippines</t>
  </si>
  <si>
    <t>Stand Alone SHS No. 14 Santa Maria</t>
  </si>
  <si>
    <t>Brgy.Calangay Santa Maria Laguna</t>
  </si>
  <si>
    <t>Centro, Brgy, GC64+6VX, Santa Maria, Laguna, Philippines</t>
  </si>
  <si>
    <t>Stand Alone SHS No. 21 Papatahan</t>
  </si>
  <si>
    <t>Sitio Papatahan</t>
  </si>
  <si>
    <t>9H72+WHG, Paete, Laguna, Philippines</t>
  </si>
  <si>
    <t>STANFORD ASIA COLLEGE INC.</t>
  </si>
  <si>
    <t>Brgy. Tres</t>
  </si>
  <si>
    <t>74FF+VV4, JP Rizal St, Cabuyao City, 4025 Laguna, Philippines</t>
  </si>
  <si>
    <t>STI College - Bacoor</t>
  </si>
  <si>
    <t>Panapaan IV</t>
  </si>
  <si>
    <t>STI College Bacoor BLDG, Tirona Hwy, Bacoor, 4102 Cavite, Philippines</t>
  </si>
  <si>
    <t>STI College - Balayan</t>
  </si>
  <si>
    <t>PED Plaza Business Center, Brgy. Ermita, Balayan, Batangas</t>
  </si>
  <si>
    <t>WPWJ+55Q, Balayan, 4213 Batangas, Philippines</t>
  </si>
  <si>
    <t>STI College - Batangas</t>
  </si>
  <si>
    <t>Kumintang Ibaba, Batangas City</t>
  </si>
  <si>
    <t>Kumintang Ibaba, Batangas City, Batangas, Philippines</t>
  </si>
  <si>
    <t>STI College - Calamba</t>
  </si>
  <si>
    <t>Bgry. Uno, National Highway, Calamba City, Laguna</t>
  </si>
  <si>
    <t>STI College - Lipa</t>
  </si>
  <si>
    <t>C.M. Recto Ave.,Barangay 6 Lipa City</t>
  </si>
  <si>
    <t>C.M. Recto Ave, Lipa City, Batangas, Philippines</t>
  </si>
  <si>
    <t>STI College - Ortigas - Cainta</t>
  </si>
  <si>
    <t>STI Academic Center, Ortigas Avenue Extension, Cainta, Rizal</t>
  </si>
  <si>
    <t>Ortigas Ave Ext, Cainta, 1900 Rizal, Philippines</t>
  </si>
  <si>
    <t>STI College - Southwoods</t>
  </si>
  <si>
    <t>Lot 2A, Maduya, Carmona, Cavite</t>
  </si>
  <si>
    <t>362 San Jose, Carmona, 4116 Cavite, Philippines</t>
  </si>
  <si>
    <t>STI College - Sta. Cruz</t>
  </si>
  <si>
    <t>1522 P. Guevarra Ave., Sta. Cruz, Laguna</t>
  </si>
  <si>
    <t>7CH8+99R, Pedro Guevara Ave, Santa Cruz, 4009 Laguna, Philippines</t>
  </si>
  <si>
    <t>STI College - Tagaytay</t>
  </si>
  <si>
    <t>Frablyn Centrum Tower, Tagaytay Rotonda, Aguinaldo Highway, Tagaytay City</t>
  </si>
  <si>
    <t>IV A - Southern Tagalog, Tagaytay City, 4120 Cavite, Philippines</t>
  </si>
  <si>
    <t>STI College - Tanauan</t>
  </si>
  <si>
    <t>#5 Mabini Ave., Tanauan, Batangas</t>
  </si>
  <si>
    <t>5 A Mabini Ave, Tanauan City, 4232 Batangas, Philippines</t>
  </si>
  <si>
    <t>STI College - Tanay</t>
  </si>
  <si>
    <t>Manila East Road, Barangay Tandang Kutyo, Tanay, Rizal</t>
  </si>
  <si>
    <t>G75Q+923, Manila E Rd, Tanay, Rizal, Philippines</t>
  </si>
  <si>
    <t>STI College Calamba</t>
  </si>
  <si>
    <t>Brgy. Uno, National High way, Calamba City, Laguna</t>
  </si>
  <si>
    <t>STI COLLEGE DASMARIÃ‘AS, INC.</t>
  </si>
  <si>
    <t>STI BLDG. N. GUEVARRA ST. ZONE 1 DASMARIÃ‘AS CITY, CAVITE</t>
  </si>
  <si>
    <t>N Guevarra St, Zone I, Dasmariñas, Cavite, Philippines</t>
  </si>
  <si>
    <t>STI College Rosario, Cavite, Inc.</t>
  </si>
  <si>
    <t>STI Academic Center, Gen. Trias Drive Tejero, Rosario, Cavite</t>
  </si>
  <si>
    <t>STI Bldg, CV55+2F3, General Trias Dr, Rosario, 4106 Cavite, Philippines</t>
  </si>
  <si>
    <t>STI College San Pablo</t>
  </si>
  <si>
    <t>Lopez Jaena St., San Pablo City, Laguna</t>
  </si>
  <si>
    <t>4000 Lopez Jaena St, San Pablo City, Laguna, Philippines</t>
  </si>
  <si>
    <t>STI College San Pablo, Inc.</t>
  </si>
  <si>
    <t>Lopez Jaena St., San Pablo City</t>
  </si>
  <si>
    <t>STI College Santa Rosa</t>
  </si>
  <si>
    <t>STI Academic Center, Ruby St., Brgy. Balibago, Sta. Rosa City, Laguna</t>
  </si>
  <si>
    <t>603 Balibago Rd, City of Santa Rosa, 4026 Laguna, Philippines</t>
  </si>
  <si>
    <t>STI College Santa Rosa, Inc.</t>
  </si>
  <si>
    <t>STI Building, Balibago Complex, Balibago, City of Santa Rosa, Laguna</t>
  </si>
  <si>
    <t>STI College Sta. Cruz</t>
  </si>
  <si>
    <t>1522 Lord's Grace Bldg., P. Guevara Avenue, Sta. Cruz, Laguna</t>
  </si>
  <si>
    <t>STI EDUCATION SERVICES GROUP, INC. - LUCENA</t>
  </si>
  <si>
    <t>Quezon Ave Cor Perez St.</t>
  </si>
  <si>
    <t>4301, Lucena City, 4301 Quezon, Philippines</t>
  </si>
  <si>
    <t>Sto. Angel National High School</t>
  </si>
  <si>
    <t>Sto. Angel</t>
  </si>
  <si>
    <t>4927+W26, San Pablo City, 4000 Laguna, Philippines</t>
  </si>
  <si>
    <t>Sto. Domingo Integrated School</t>
  </si>
  <si>
    <t>Sto. Domingo, sta. Rosa city laguna</t>
  </si>
  <si>
    <t>62HX+358, Santa Rosa - Tagaytay Rd, City of Santa Rosa, Laguna, Philippines</t>
  </si>
  <si>
    <t>Sto. Domingo NHS</t>
  </si>
  <si>
    <t>Km 234 Maharlika Highway</t>
  </si>
  <si>
    <t>234 1, Talavera, Nueva Ecija, Philippines</t>
  </si>
  <si>
    <t>Sto. NiÃ±o Formation and Science School-Day Class</t>
  </si>
  <si>
    <t>J. Belen St., San Roque, Rosario, Batangas</t>
  </si>
  <si>
    <t>J. Belen Street, San Roque, Rosario, Batangas, Philippines</t>
  </si>
  <si>
    <t>Sto. NiÃ±o Formation and Science School-Night Class</t>
  </si>
  <si>
    <t>Sto. NiÃ±o National High School (Formerly Pagsangahan NHS Ext. Sto. NiÃ±o)</t>
  </si>
  <si>
    <t>Sto. Nino Ilaya NHS (Formerly San Francisco B NHS Sto. NiÃƒÂ±o Ilaya Ext.)</t>
  </si>
  <si>
    <t>Sto. NiÃ±o Ilaya</t>
  </si>
  <si>
    <t>Sto. Nino Integrated School</t>
  </si>
  <si>
    <t>Sampaguita St.</t>
  </si>
  <si>
    <t>Sampaguita St, Holy Spirit, Quezon City, Metro Manila, Philippines</t>
  </si>
  <si>
    <t>Sto. Tomas Integrated High School</t>
  </si>
  <si>
    <t>Lot 1, Block 32, Southville 7 NHA, Site 3 Brgy. Sto. Tomas, Calauan, Laguna</t>
  </si>
  <si>
    <t>589X+7HH, Unnamed Road, Calauan, Laguna, Philippines</t>
  </si>
  <si>
    <t>Sto. Tomas Senior High School</t>
  </si>
  <si>
    <t>San Miguel, Sto. Tomas City, Batangas</t>
  </si>
  <si>
    <t>35V6+RV7, Santo Tomas, Batangas, Philippines</t>
  </si>
  <si>
    <t>SUBSIDIZED TECHNICAL EDUCATION PROGRAM (STEP), INC.</t>
  </si>
  <si>
    <t>Lot 14 Borja Subdivision, National Highway, Parian, Calamba City</t>
  </si>
  <si>
    <t>NATIONAL ROAD, Parian, Calamba, 4027 Laguna, Philippines</t>
  </si>
  <si>
    <t>SUMULONG COLLEGE OF ARTS AND SCIENCES, INC.</t>
  </si>
  <si>
    <t>Ligtasan Road, Brgy. San Roque, Antipolo City</t>
  </si>
  <si>
    <t>H5GH+63F, Manuel L. Quezon Ext, Antipolo, 1870 Rizal, Philippines</t>
  </si>
  <si>
    <t>Sumulong Memorial High School</t>
  </si>
  <si>
    <t>Gen. Luna Street</t>
  </si>
  <si>
    <t>11 General Luna St, Antipolo, 1870 Rizal, Philippines</t>
  </si>
  <si>
    <t>Taal Senior High School</t>
  </si>
  <si>
    <t>G. Marella Street</t>
  </si>
  <si>
    <t>VWJF+MVR, Taal, Batangas, Philippines</t>
  </si>
  <si>
    <t>Tabangao Integrated School</t>
  </si>
  <si>
    <t>Tabangao</t>
  </si>
  <si>
    <t>P376+XX7, Batangas City, Batangas, Philippines</t>
  </si>
  <si>
    <t>Tabason NHS</t>
  </si>
  <si>
    <t>Tabason</t>
  </si>
  <si>
    <t>Tabason, Tagkawayan, Quezon, Philippines</t>
  </si>
  <si>
    <t>Tagaytay City National High School - Integrated Senior High School</t>
  </si>
  <si>
    <t>Mayor's Drive Mendez Crossing East</t>
  </si>
  <si>
    <t>4W2F+XJC, Mayor's Dr, Tagaytay City, 4120 Cavite, Philippines</t>
  </si>
  <si>
    <t>Tagaytay City Science National High School - Integrated Senior High School</t>
  </si>
  <si>
    <t>Sungay West</t>
  </si>
  <si>
    <t>4XGM+5XV, Tagaytay - Calamba Rd, Tagaytay City, Cavite, Philippines</t>
  </si>
  <si>
    <t>Tagaytay-Mendez Academy INC.</t>
  </si>
  <si>
    <t>J.P. Rizal St., Galicia II, Mendez, Cavite</t>
  </si>
  <si>
    <t>385 Tagaytay-Mendez Road, Galicia, Mendez, 4121, Cavite, Mendez, Cavite, Philippines</t>
  </si>
  <si>
    <t>Tagkawayan NHS</t>
  </si>
  <si>
    <t>Barangay Munting Parang</t>
  </si>
  <si>
    <t>XH97+92, Tagkawayan, Quezon, Philippines</t>
  </si>
  <si>
    <t>Tala Senior High School</t>
  </si>
  <si>
    <t>Tala, Munting Indang, Nasugbu, Batangas</t>
  </si>
  <si>
    <t>3MVW+5VP, Unnamed Road, Nasugbu, Batangas, Philippines</t>
  </si>
  <si>
    <t>Talahib Pandayan Integrated High School</t>
  </si>
  <si>
    <t>Talahib Pandayan</t>
  </si>
  <si>
    <t>Talahib Pandayan, Batangas City, Batangas, Philippines</t>
  </si>
  <si>
    <t>Talangan Integrated National High School</t>
  </si>
  <si>
    <t>Brgy. Talangan</t>
  </si>
  <si>
    <t>Brgy, Nagcarlan, Laguna, Philippines</t>
  </si>
  <si>
    <t>Talim Point National High School</t>
  </si>
  <si>
    <t>Brgy. Rayap, Talim Pt.</t>
  </si>
  <si>
    <t>76WP+H65, Talim, Binangonan, Rizal, Philippines</t>
  </si>
  <si>
    <t>Talipan National High School</t>
  </si>
  <si>
    <t>Sitio Fori</t>
  </si>
  <si>
    <t>Baranggay Talipan 4302 Pagbilao, Bayan ng Quezon, 4332 Quezon, Philippines</t>
  </si>
  <si>
    <t>Talisay High School,Inc.</t>
  </si>
  <si>
    <t>Gen.A. Laurel Street, Zone 6</t>
  </si>
  <si>
    <t>Talisay, Batangas, Philippines</t>
  </si>
  <si>
    <t>Talisay Integrated School</t>
  </si>
  <si>
    <t>Sitio De Gorio</t>
  </si>
  <si>
    <t>Brgy, X954+7G4, Tiaong, Quezon, Philippines</t>
  </si>
  <si>
    <t>Talisay Polytechnic Institute</t>
  </si>
  <si>
    <t>Banga, Talisay, Batangas</t>
  </si>
  <si>
    <t>Banga, Talisay, Batangas, Philippines</t>
  </si>
  <si>
    <t>Talisay Senior High School</t>
  </si>
  <si>
    <t>Tumaway, Talisay, Batangas</t>
  </si>
  <si>
    <t>001 Talisay - Tanauan Rd, Talisay, Batangas, Philippines</t>
  </si>
  <si>
    <t>Talon Integrated School</t>
  </si>
  <si>
    <t>Sitio Matagbak</t>
  </si>
  <si>
    <t>Sitio Matagbak, Amadeo, Cavite, Philippines</t>
  </si>
  <si>
    <t>Talumpok Integrated School</t>
  </si>
  <si>
    <t>Talumpok</t>
  </si>
  <si>
    <t>Talumpok Kanluran, Batangas City, Batangas, Philippines</t>
  </si>
  <si>
    <t>Taluong NHS</t>
  </si>
  <si>
    <t>Taluong</t>
  </si>
  <si>
    <t>Taluong, Polillo, Quezon, Philippines</t>
  </si>
  <si>
    <t>Tanauan City College</t>
  </si>
  <si>
    <t>Trapiche 1, Tanauan City, Batangas</t>
  </si>
  <si>
    <t>34QW+32X, Tanauan City, Batangas, Philippines</t>
  </si>
  <si>
    <t>Tanauan City Integrated High School</t>
  </si>
  <si>
    <t>34QV+2V4, Tanauan City, Batangas, Philippines</t>
  </si>
  <si>
    <t>Tanauan School of Fisheries</t>
  </si>
  <si>
    <t>Ambulong, Tanauan City, Batangas</t>
  </si>
  <si>
    <t>B Talisay - Tanauan Rd, Tanauan City, Batangas, Philippines</t>
  </si>
  <si>
    <t>Tanay East National High School</t>
  </si>
  <si>
    <t>Sitio Waray</t>
  </si>
  <si>
    <t>Sitio Waray, Plaza Aldea, Tanay, 1980 Rizal, Philippines</t>
  </si>
  <si>
    <t>Tanay Sampaloc Integrated National High School</t>
  </si>
  <si>
    <t>Signal VIllage, Sampaloc, Tanay Rizal</t>
  </si>
  <si>
    <t>Tanay Senior High School</t>
  </si>
  <si>
    <t>Pantay Pinugay Road Sitio Dalawang Kawayan Brgy. Tandang Kutyo Tanay, Rizal</t>
  </si>
  <si>
    <t>G79V+RH9, Tanay, Rizal, Philippines</t>
  </si>
  <si>
    <t>Tanay West Integrated National High School</t>
  </si>
  <si>
    <t>Gregorio Trinidad St.</t>
  </si>
  <si>
    <t>Tanay, Rizal, Philippines</t>
  </si>
  <si>
    <t>Tanza National Comprehensive High School</t>
  </si>
  <si>
    <t>Daang Amaya II, Tanza, Cavite</t>
  </si>
  <si>
    <t>9VW3+GF6, San Agustin, Tanza, Cavite, Philippines</t>
  </si>
  <si>
    <t>Tanza National Trade School</t>
  </si>
  <si>
    <t>Paradahan 1, Tanza, Cavite</t>
  </si>
  <si>
    <t>325-b Tanza - Trece Martires Rd, Tanza, Cavite, Philippines</t>
  </si>
  <si>
    <t>Taysan San Jose Integrated National High School</t>
  </si>
  <si>
    <t>Taysan, San Jose, Batangas</t>
  </si>
  <si>
    <t>V3MX+CC9, Taysan, San Jose, Batangas, Philippines</t>
  </si>
  <si>
    <t>Taysan Senior High School</t>
  </si>
  <si>
    <t>Mahanadiong, Taysan, Batangas</t>
  </si>
  <si>
    <t>Q5VR+JRW, Mahanadiong, Taysan, 4228 Batangas, Philippines</t>
  </si>
  <si>
    <t>Taytay Integrated School</t>
  </si>
  <si>
    <t>Zloty St., Meralco Village</t>
  </si>
  <si>
    <t>Taytay, Rizal, Philippines</t>
  </si>
  <si>
    <t>Taytay Senior High School</t>
  </si>
  <si>
    <t>#21 Binhing Pag-Asa St. Bgy. Dolores, Taytay, Rizal</t>
  </si>
  <si>
    <t>22 Int, B. Pagasa, Taytay, 1920 Rizal, Philippines</t>
  </si>
  <si>
    <t>Technological University of the Philippines-Cavite</t>
  </si>
  <si>
    <t>CQT Ave., Salawag, City of DasmariÃ±as, Cavite</t>
  </si>
  <si>
    <t>Carlos Trinidad Ave, Salawag, Dasmariñas, Cavite, Philippines</t>
  </si>
  <si>
    <t>TEKSQUAD Institute of Information Technology, Inc.</t>
  </si>
  <si>
    <t>3/F Gatsby Bldg., M.L. Quezon St.,</t>
  </si>
  <si>
    <t>M.L. Quezon Street, Antipolo, 1870 Rizal, Philippines</t>
  </si>
  <si>
    <t>Teodoro M. Luansing College of Rosario</t>
  </si>
  <si>
    <t>103 Rosario - Ibaan Rd, Rosario, 4225 Batangas, Philippines</t>
  </si>
  <si>
    <t>Teresa National High School</t>
  </si>
  <si>
    <t>Corazon Aquino Ave Bagumbayan, Teresa, Rizal</t>
  </si>
  <si>
    <t>G6X9+XJ9, J. Sumulong Rd, Bagumbayan, Teresa, 1880 Rizal, Philippines</t>
  </si>
  <si>
    <t>Ternate Integrated National High School</t>
  </si>
  <si>
    <t>H. Ventura St.</t>
  </si>
  <si>
    <t>7PM9+VPF, H. Ventura, Ternate, Cavite, Philippines</t>
  </si>
  <si>
    <t>Ternate West National High School</t>
  </si>
  <si>
    <t>Sitio Kasulog</t>
  </si>
  <si>
    <t>7PM5+FFW, Maragondon-Ternate Road, Ternate, 4111 Cavite, Philippines</t>
  </si>
  <si>
    <t>The Beacon Academy, Inc.</t>
  </si>
  <si>
    <t>Cecilia Araneta Parkway</t>
  </si>
  <si>
    <t>Cecilia Araneta Parkway, Biñan, 4024, Laguna, Biñan, Laguna, Philippines</t>
  </si>
  <si>
    <t>The Bearer of Light and Wisdom Colleges-(Main)</t>
  </si>
  <si>
    <t>#403 Bee Bien Bldg. Molino 1 Bacoor, Cavite</t>
  </si>
  <si>
    <t>CXCG+M8J, 1 Molino Rd, Molino I, Bacoor, 4102 Cavite, Philippines</t>
  </si>
  <si>
    <t>The Blessings in the Word Fellowship School, Inc.</t>
  </si>
  <si>
    <t>155 J.P., Rizal Avenue, Kaybagal South, Tagaytay City</t>
  </si>
  <si>
    <t>The First Uniting Christian College</t>
  </si>
  <si>
    <t>Block 23 Lot 15 Bahamas St., Greenbreeze Subd., Lancaan 2, Dasmarinas, Cavite</t>
  </si>
  <si>
    <t>Blk 23 Lot 15, Bahamas St, Green Breeze Ave, Subdivision 1, Dasmariñas, 4114 Cavite, Philippines</t>
  </si>
  <si>
    <t>The Philippine Women's University, Career Development and Continuing Education Center Sta. Cruz, Laguna, Inc.</t>
  </si>
  <si>
    <t>M.H. Del Pilar St.</t>
  </si>
  <si>
    <t>The Power of Faith Christian Life Academy</t>
  </si>
  <si>
    <t>678 Compound Mambog-Bayanan, Bacoor, Cavite</t>
  </si>
  <si>
    <t>678 Compound Mambog Rd., Bacoor, Cavite, Philippines</t>
  </si>
  <si>
    <t>THE RAYA SCHOOL, INC.</t>
  </si>
  <si>
    <t>Tinga Sorosoro  Integrated School</t>
  </si>
  <si>
    <t>Sorosoro Ibaba</t>
  </si>
  <si>
    <t>Purok 1 Barangay, Purok 1, Barangay Sorosoro, Ibaba, Batangas City, 4200 Batangas, Philippines</t>
  </si>
  <si>
    <t>Tingloy Senior High School</t>
  </si>
  <si>
    <t>Barangay 14 (Poblacion 2), Tingloy, Batangas</t>
  </si>
  <si>
    <t>Barangay 14 (Poblacion 2), Tingloy, Batangas, Philippines</t>
  </si>
  <si>
    <t>Tiniguiban Rural High School</t>
  </si>
  <si>
    <t>379Q+76J, Calauag, Quezon, Philippines</t>
  </si>
  <si>
    <t>Tipas Integrated National High School</t>
  </si>
  <si>
    <t>Tipas, San Juan, Batangas</t>
  </si>
  <si>
    <t>Tipaz, San Juan, Batangas, Philippines</t>
  </si>
  <si>
    <t>Tongohin NHS</t>
  </si>
  <si>
    <t>Tongohin</t>
  </si>
  <si>
    <t>Tongohin, Infanta, Quezon, Philippines</t>
  </si>
  <si>
    <t>Trace College</t>
  </si>
  <si>
    <t>El Danda St., Batong Malake, Los Baños, Laguna</t>
  </si>
  <si>
    <t>4030 El Danda St, Los Baños, Laguna, Philippines</t>
  </si>
  <si>
    <t>Trece Martires City Senior High School</t>
  </si>
  <si>
    <t>Brgy. Gregorio</t>
  </si>
  <si>
    <t>7VMG+4FQ, Trece Martires City, Cavite, Philippines</t>
  </si>
  <si>
    <t>Trent Information First Technical Career Institute</t>
  </si>
  <si>
    <t>RLC Bldg., National Rd., Brgy. San Juan, Taytay, Rizal</t>
  </si>
  <si>
    <t>RLC Building, Manila East Road, San Juan, H42R+R3F, Diamond, Taytay, 1920 Rizal, Philippines</t>
  </si>
  <si>
    <t>Trimex Colleges, Inc.</t>
  </si>
  <si>
    <t>Trojan Building, Poblacion, Biñan City, Laguna</t>
  </si>
  <si>
    <t>Plaza Limaco, Biñan, 4024 Laguna, Philippines</t>
  </si>
  <si>
    <t>Tropical Village National High School</t>
  </si>
  <si>
    <t>N.A.</t>
  </si>
  <si>
    <t>Tropical Village, San Franscisco, General Trias, 4107 Cavite, Philippines</t>
  </si>
  <si>
    <t>Tumbaga National High School</t>
  </si>
  <si>
    <t>Tumbaga</t>
  </si>
  <si>
    <t>Pagsangahan, M3PG+7VF, San Francisco (Aurora), Metro Manila, Philippines</t>
  </si>
  <si>
    <t>Tuna-Balibago National High School</t>
  </si>
  <si>
    <t>P. Sta. Maria St.</t>
  </si>
  <si>
    <t>P. Sta. Maria, Balibago, Cardona, Rizal, Philippines</t>
  </si>
  <si>
    <t>Tuntungin-Putho Integrated National High School</t>
  </si>
  <si>
    <t>Tuy Senior High School</t>
  </si>
  <si>
    <t>Luna (Poblacion), Tuy, Batangas</t>
  </si>
  <si>
    <t>Luna, Tuy, Batangas, Philippines</t>
  </si>
  <si>
    <t>Ungos  Integrated NHS</t>
  </si>
  <si>
    <t>Ungos</t>
  </si>
  <si>
    <t>Ungos, Real, Quezon, Philippines</t>
  </si>
  <si>
    <t>Ungos National High School Extension - Llavac</t>
  </si>
  <si>
    <t>Llavac</t>
  </si>
  <si>
    <t>Purok 6, Real, Quezon, Philippines</t>
  </si>
  <si>
    <t>Union College of Laguna</t>
  </si>
  <si>
    <t>A. MABINI</t>
  </si>
  <si>
    <t>7CM8+9F3, A. Mabini St, Santa Cruz, Laguna, Philippines</t>
  </si>
  <si>
    <t>Union College of Laguna Inc.</t>
  </si>
  <si>
    <t>Unisan Integrated High School (Formerly Unisan NHS)</t>
  </si>
  <si>
    <t>F. de Jesus</t>
  </si>
  <si>
    <t>Unisan, Quezon, Philippines</t>
  </si>
  <si>
    <t>Universal Scholastic Academe</t>
  </si>
  <si>
    <t>Sinisian East, Lemery, Batangas</t>
  </si>
  <si>
    <t>WV64+4QW, Lemery, Batangas, Philippines</t>
  </si>
  <si>
    <t>University of Batangas</t>
  </si>
  <si>
    <t>Gov. Feliciano Leviste Rd. Lipa City</t>
  </si>
  <si>
    <t>X595+MQ6, Leviste Hwy, Lipa City, Batangas, Philippines</t>
  </si>
  <si>
    <t>University of Perpetual Help System Dalta-Calamba</t>
  </si>
  <si>
    <t>Barangay Paciano Rizal, Calamba City, Laguna</t>
  </si>
  <si>
    <t>Brgy. Paciano Rizal, Calamba, 4027 Laguna, Philippines</t>
  </si>
  <si>
    <t>University of Perpetual Help System-Dr. Jose G. Tamayo Medical University</t>
  </si>
  <si>
    <t>Sto. Niño, Biñan City, Laguna</t>
  </si>
  <si>
    <t>UPH Compound, National Highway, Sto. Niño, Biñan, Laguna, Philippines</t>
  </si>
  <si>
    <t>University of Perpetual Help System-Laguna</t>
  </si>
  <si>
    <t>University of Rizal System - Antipolo Campus</t>
  </si>
  <si>
    <t>Marigman St.</t>
  </si>
  <si>
    <t>Barangay, San Roque, Marigman St, Antipolo, 1870 Rizal, Philippines</t>
  </si>
  <si>
    <t>University of Rizal System - Laboratory School Morong Campus</t>
  </si>
  <si>
    <t>J. Sumulong St. Brgy. San Juan</t>
  </si>
  <si>
    <t>Sumulong St, Morong, Rizal, Philippines</t>
  </si>
  <si>
    <t>University of Rizal System - Morong Campus</t>
  </si>
  <si>
    <t>J. Sumulong St.</t>
  </si>
  <si>
    <t>University of the Philippines-Los BaÃ±os-Rural HS</t>
  </si>
  <si>
    <t>Los BaÃ±os, Laguna</t>
  </si>
  <si>
    <t>566W+C9W University of the Philippines, Jose R Velasco Ave, Los Baños, 4031 Laguna, Philippines</t>
  </si>
  <si>
    <t>University of the Philippines-Los Baños</t>
  </si>
  <si>
    <t>Pedro R. Sandoval Avenue, Los Baños, Laguna</t>
  </si>
  <si>
    <t>Pedro R. Sandoval Ave, Batong Malake, Los Baños, 4031 Laguna, Philippines</t>
  </si>
  <si>
    <t>University of the Philippines-Open University</t>
  </si>
  <si>
    <t>Maahas, Los Baños, Laguna</t>
  </si>
  <si>
    <t>57G6+8R8, Manila S Rd, Los Baños, Laguna, Philippines</t>
  </si>
  <si>
    <t>Upland Integrated National High School</t>
  </si>
  <si>
    <t>Veronica NHS (Formerly Magallanes NHS Veronica Extension)</t>
  </si>
  <si>
    <t>Veronica</t>
  </si>
  <si>
    <t>Veronica NHS (Grades 7 to 12)</t>
  </si>
  <si>
    <t>Vicente Madrigal National High School</t>
  </si>
  <si>
    <t>Quarry Road</t>
  </si>
  <si>
    <t>G54P+RW6, Binangonan, Rizal, Philippines</t>
  </si>
  <si>
    <t>Victoria Senior High School</t>
  </si>
  <si>
    <t>E. Quirino Street</t>
  </si>
  <si>
    <t>E Quirino St, Santo Niño, Marikina, 1800 Metro Manila, Philippines</t>
  </si>
  <si>
    <t>Villa Perez NHS</t>
  </si>
  <si>
    <t>Villa Perez</t>
  </si>
  <si>
    <t>Villa Perez, Gumaca, Quezon, Philippines</t>
  </si>
  <si>
    <t>Villa San Isidro NHS</t>
  </si>
  <si>
    <t>Villa San Isidro</t>
  </si>
  <si>
    <t>5688+V9R, Calauag, Quezon, Philippines</t>
  </si>
  <si>
    <t>Washington School</t>
  </si>
  <si>
    <t>Lot 3 South Horizon 1, Governors Drive</t>
  </si>
  <si>
    <t>Lot 3, South Horizon, 1 Governor's Dr, General Mariano Alvarez, 4116 Cavite, Philippines</t>
  </si>
  <si>
    <t>Washington School Inc.</t>
  </si>
  <si>
    <t>Lot 3 South Horizon 1, Governors Drive, Brgy. Cabilang Baybay, Carmona Cavite</t>
  </si>
  <si>
    <t>West Greenville Laguna Colleges, Inc.</t>
  </si>
  <si>
    <t>Sofia Brucal Greenvalley Subd.</t>
  </si>
  <si>
    <t>West Palale National High School</t>
  </si>
  <si>
    <t>West Palale</t>
  </si>
  <si>
    <t>RWCQ+Q8F, Macarthur, Leyte, Philippines</t>
  </si>
  <si>
    <t>Westbridge Institute of Technology-Cabuyao</t>
  </si>
  <si>
    <t>#1 National Highway, Brgy. Banlic, Cabuyao City, Laguna</t>
  </si>
  <si>
    <t>#1 Banlic National Highway, Cabuyao City, 4025 Laguna, Philippines</t>
  </si>
  <si>
    <t>Westbridge Institute of Technology, Inc</t>
  </si>
  <si>
    <t>#1 Brgy. Banlic, City of Cabuyao, Laguna</t>
  </si>
  <si>
    <t>WESTBRIDGE INSTITUTE OF TECHNOLOGY, INC.</t>
  </si>
  <si>
    <t>39 Brgy. Uno</t>
  </si>
  <si>
    <t>JP Rizal St, Cabuyao City, Laguna, Philippines</t>
  </si>
  <si>
    <t>Western Colleges, Inc.</t>
  </si>
  <si>
    <t>033 Capt. C. Nazareno St., Naic, Cavite</t>
  </si>
  <si>
    <t>32 Captain Ciriaco Nazareno St, Naic, 4110 Cavite, Philippines</t>
  </si>
  <si>
    <t>White Cliff NHS</t>
  </si>
  <si>
    <t>Brgy. White Cliff San Narciso, Quezon</t>
  </si>
  <si>
    <t>White Cliff, San Narciso, Quezon, Philippines</t>
  </si>
  <si>
    <t>WILL School of Antipolo, Inc.</t>
  </si>
  <si>
    <t>#700 Topaz Lane, Cristimar Village</t>
  </si>
  <si>
    <t>Cristimar Village, 700 Topaz Ln, Antipolo, 1870 Rizal, Philippines</t>
  </si>
  <si>
    <t>World Citi Colleges</t>
  </si>
  <si>
    <t>156 M.L. Quezon Avenue</t>
  </si>
  <si>
    <t>156 M. L. Quezon Ave, Antipolo, 1870 Rizal, Philippines</t>
  </si>
  <si>
    <t>Yllana Colleges of Business and Arts, Inc.</t>
  </si>
  <si>
    <t>2nd Floor, RJJ Marison Bldg., Profugo cor. Merchan St., Lucena City</t>
  </si>
  <si>
    <t>118 GLT Building Merchant Street Cor, Cabana St, Lucena City, 4301 Quezon, Philippines</t>
  </si>
  <si>
    <t>ZION ACADEMY OF BATANGAS INC.</t>
  </si>
  <si>
    <t>Sitio Bautista, Brgy. Mataas Na Pulo</t>
  </si>
  <si>
    <t>Brgy, Sitio Bautista, Mataas Na Pulo, Nasugbu, Batangas, Philippines</t>
  </si>
  <si>
    <t>ZYMONN AULSTEIN COLLEGES OF THE PHILIPPINES INC.</t>
  </si>
  <si>
    <t>1093 Antero Soriano Highway, Lambingan, Tanza, Cavite</t>
  </si>
  <si>
    <t>1093 Antero Soriano Hwy, Tanza, Cavite, Philippines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</si>
</sst>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25"/>
    <col customWidth="1" min="2" max="2" width="79.38"/>
    <col customWidth="1" min="6" max="6" width="91.88"/>
    <col customWidth="1" min="7" max="7" width="4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1" t="s">
        <v>8</v>
      </c>
      <c r="C2" s="1" t="s">
        <v>9</v>
      </c>
      <c r="D2" s="1">
        <v>14.5330747</v>
      </c>
      <c r="E2" s="1">
        <v>121.1473055</v>
      </c>
      <c r="F2" s="1" t="s">
        <v>10</v>
      </c>
      <c r="G2" s="3" t="str">
        <f>IFERROR(__xludf.DUMMYFUNCTION("IF(REGEXMATCH(F2, ""(?:.*,\s*)?([^,]+),\s*([^,]+),\s*Philippines.*""), TRIM(REGEXREPLACE(REGEXREPLACE(F2, ""(?:.*,\s*)?([^,]+),\s*([^,]+),\s*Philippines.*"", ""$1, $2""), ""\d+"", """")), """")"),"Angono, Rizal")</f>
        <v>Angono, Rizal</v>
      </c>
    </row>
    <row r="3">
      <c r="A3" s="1" t="s">
        <v>11</v>
      </c>
      <c r="B3" s="1" t="s">
        <v>12</v>
      </c>
      <c r="C3" s="1" t="s">
        <v>13</v>
      </c>
      <c r="D3" s="1">
        <v>14.2925605</v>
      </c>
      <c r="E3" s="1">
        <v>120.9093699</v>
      </c>
      <c r="F3" s="1" t="s">
        <v>14</v>
      </c>
      <c r="G3" s="3" t="str">
        <f>IFERROR(__xludf.DUMMYFUNCTION("IF(REGEXMATCH(F3, ""(?:.*,\s*)?([^,]+),\s*([^,]+),\s*Philippines.*""), TRIM(REGEXREPLACE(REGEXREPLACE(F3, ""(?:.*,\s*)?([^,]+),\s*([^,]+),\s*Philippines.*"", ""$1, $2""), ""\d+"", """")), """")"),"General Trias, Cavite")</f>
        <v>General Trias, Cavite</v>
      </c>
    </row>
    <row r="4">
      <c r="A4" s="1" t="s">
        <v>15</v>
      </c>
      <c r="B4" s="1" t="s">
        <v>16</v>
      </c>
      <c r="C4" s="1" t="s">
        <v>9</v>
      </c>
      <c r="D4" s="1">
        <v>13.9320904</v>
      </c>
      <c r="E4" s="1">
        <v>121.6127543</v>
      </c>
      <c r="F4" s="1" t="s">
        <v>17</v>
      </c>
      <c r="G4" s="3" t="str">
        <f>IFERROR(__xludf.DUMMYFUNCTION("IF(REGEXMATCH(F4, ""(?:.*,\s*)?([^,]+),\s*([^,]+),\s*Philippines.*""), TRIM(REGEXREPLACE(REGEXREPLACE(F4, ""(?:.*,\s*)?([^,]+),\s*([^,]+),\s*Philippines.*"", ""$1, $2""), ""\d+"", """")), """")"),"Lucena City, Quezon")</f>
        <v>Lucena City, Quezon</v>
      </c>
    </row>
    <row r="5">
      <c r="A5" s="1" t="s">
        <v>18</v>
      </c>
      <c r="B5" s="1" t="s">
        <v>19</v>
      </c>
      <c r="C5" s="1" t="s">
        <v>9</v>
      </c>
      <c r="D5" s="1">
        <v>14.616747</v>
      </c>
      <c r="E5" s="1">
        <v>121.101945</v>
      </c>
      <c r="F5" s="1" t="s">
        <v>20</v>
      </c>
      <c r="G5" s="3" t="str">
        <f>IFERROR(__xludf.DUMMYFUNCTION("IF(REGEXMATCH(F5, ""(?:.*,\s*)?([^,]+),\s*([^,]+),\s*Philippines.*""), TRIM(REGEXREPLACE(REGEXREPLACE(F5, ""(?:.*,\s*)?([^,]+),\s*([^,]+),\s*Philippines.*"", ""$1, $2""), ""\d+"", """")), """")"),"Cainta Rizal, Rizal")</f>
        <v>Cainta Rizal, Rizal</v>
      </c>
    </row>
    <row r="6">
      <c r="A6" s="1" t="s">
        <v>21</v>
      </c>
      <c r="B6" s="1" t="s">
        <v>22</v>
      </c>
      <c r="C6" s="1" t="s">
        <v>9</v>
      </c>
      <c r="D6" s="1">
        <v>13.9320904</v>
      </c>
      <c r="E6" s="1">
        <v>121.6127543</v>
      </c>
      <c r="F6" s="1" t="s">
        <v>17</v>
      </c>
      <c r="G6" s="3" t="str">
        <f>IFERROR(__xludf.DUMMYFUNCTION("IF(REGEXMATCH(F6, ""(?:.*,\s*)?([^,]+),\s*([^,]+),\s*Philippines.*""), TRIM(REGEXREPLACE(REGEXREPLACE(F6, ""(?:.*,\s*)?([^,]+),\s*([^,]+),\s*Philippines.*"", ""$1, $2""), ""\d+"", """")), """")"),"Lucena City, Quezon")</f>
        <v>Lucena City, Quezon</v>
      </c>
    </row>
    <row r="7">
      <c r="A7" s="1" t="s">
        <v>23</v>
      </c>
      <c r="B7" s="1" t="s">
        <v>24</v>
      </c>
      <c r="C7" s="1" t="s">
        <v>25</v>
      </c>
      <c r="D7" s="1">
        <v>14.3193701</v>
      </c>
      <c r="E7" s="1">
        <v>120.7686365</v>
      </c>
      <c r="F7" s="1" t="s">
        <v>26</v>
      </c>
      <c r="G7" s="3" t="str">
        <f>IFERROR(__xludf.DUMMYFUNCTION("IF(REGEXMATCH(F7, ""(?:.*,\s*)?([^,]+),\s*([^,]+),\s*Philippines.*""), TRIM(REGEXREPLACE(REGEXREPLACE(F7, ""(?:.*,\s*)?([^,]+),\s*([^,]+),\s*Philippines.*"", ""$1, $2""), ""\d+"", """")), """")"),"Naic, Cavite")</f>
        <v>Naic, Cavite</v>
      </c>
    </row>
    <row r="8">
      <c r="A8" s="1" t="s">
        <v>27</v>
      </c>
      <c r="B8" s="1" t="s">
        <v>28</v>
      </c>
      <c r="C8" s="1" t="s">
        <v>13</v>
      </c>
      <c r="D8" s="1">
        <v>14.5842183</v>
      </c>
      <c r="E8" s="1">
        <v>121.228499</v>
      </c>
      <c r="F8" s="1" t="s">
        <v>29</v>
      </c>
      <c r="G8" s="3" t="str">
        <f>IFERROR(__xludf.DUMMYFUNCTION("IF(REGEXMATCH(F8, ""(?:.*,\s*)?([^,]+),\s*([^,]+),\s*Philippines.*""), TRIM(REGEXREPLACE(REGEXREPLACE(F8, ""(?:.*,\s*)?([^,]+),\s*([^,]+),\s*Philippines.*"", ""$1, $2""), ""\d+"", """")), """")"),"Teresa, Rizal")</f>
        <v>Teresa, Rizal</v>
      </c>
    </row>
    <row r="9">
      <c r="A9" s="1" t="s">
        <v>30</v>
      </c>
      <c r="B9" s="1" t="s">
        <v>31</v>
      </c>
      <c r="C9" s="1" t="s">
        <v>13</v>
      </c>
      <c r="D9" s="1">
        <v>13.6068757</v>
      </c>
      <c r="E9" s="1">
        <v>122.4863492</v>
      </c>
      <c r="F9" s="1" t="s">
        <v>32</v>
      </c>
      <c r="G9" s="3" t="str">
        <f>IFERROR(__xludf.DUMMYFUNCTION("IF(REGEXMATCH(F9, ""(?:.*,\s*)?([^,]+),\s*([^,]+),\s*Philippines.*""), TRIM(REGEXREPLACE(REGEXREPLACE(F9, ""(?:.*,\s*)?([^,]+),\s*([^,]+),\s*Philippines.*"", ""$1, $2""), ""\d+"", """")), """")"),"San Narciso, Quezon")</f>
        <v>San Narciso, Quezon</v>
      </c>
    </row>
    <row r="10">
      <c r="A10" s="1" t="s">
        <v>33</v>
      </c>
      <c r="B10" s="1" t="s">
        <v>34</v>
      </c>
      <c r="C10" s="1" t="s">
        <v>25</v>
      </c>
      <c r="D10" s="1">
        <v>14.2409589</v>
      </c>
      <c r="E10" s="1">
        <v>121.0719318</v>
      </c>
      <c r="F10" s="1" t="s">
        <v>35</v>
      </c>
      <c r="G10" s="3" t="str">
        <f>IFERROR(__xludf.DUMMYFUNCTION("IF(REGEXMATCH(F10, ""(?:.*,\s*)?([^,]+),\s*([^,]+),\s*Philippines.*""), TRIM(REGEXREPLACE(REGEXREPLACE(F10, ""(?:.*,\s*)?([^,]+),\s*([^,]+),\s*Philippines.*"", ""$1, $2""), ""\d+"", """")), """")"),"City of Santa Rosa, Laguna")</f>
        <v>City of Santa Rosa, Laguna</v>
      </c>
    </row>
    <row r="11">
      <c r="A11" s="1" t="s">
        <v>36</v>
      </c>
      <c r="B11" s="1" t="s">
        <v>37</v>
      </c>
      <c r="C11" s="1" t="s">
        <v>9</v>
      </c>
      <c r="D11" s="1">
        <v>14.2333999</v>
      </c>
      <c r="E11" s="1">
        <v>121.082419</v>
      </c>
      <c r="F11" s="1" t="s">
        <v>38</v>
      </c>
      <c r="G11" s="3" t="str">
        <f>IFERROR(__xludf.DUMMYFUNCTION("IF(REGEXMATCH(F11, ""(?:.*,\s*)?([^,]+),\s*([^,]+),\s*Philippines.*""), TRIM(REGEXREPLACE(REGEXREPLACE(F11, ""(?:.*,\s*)?([^,]+),\s*([^,]+),\s*Philippines.*"", ""$1, $2""), ""\d+"", """")), """")"),"City of Santa Rosa, Laguna")</f>
        <v>City of Santa Rosa, Laguna</v>
      </c>
    </row>
    <row r="12">
      <c r="A12" s="1" t="s">
        <v>39</v>
      </c>
      <c r="B12" s="1" t="s">
        <v>40</v>
      </c>
      <c r="C12" s="1" t="s">
        <v>25</v>
      </c>
      <c r="D12" s="1">
        <v>13.9369336</v>
      </c>
      <c r="E12" s="1">
        <v>121.1503359</v>
      </c>
      <c r="F12" s="1" t="s">
        <v>41</v>
      </c>
      <c r="G12" s="3" t="str">
        <f>IFERROR(__xludf.DUMMYFUNCTION("IF(REGEXMATCH(F12, ""(?:.*,\s*)?([^,]+),\s*([^,]+),\s*Philippines.*""), TRIM(REGEXREPLACE(REGEXREPLACE(F12, ""(?:.*,\s*)?([^,]+),\s*([^,]+),\s*Philippines.*"", ""$1, $2""), ""\d+"", """")), """")"),"Lipa City, Batangas")</f>
        <v>Lipa City, Batangas</v>
      </c>
    </row>
    <row r="13">
      <c r="A13" s="1" t="s">
        <v>42</v>
      </c>
      <c r="B13" s="1" t="s">
        <v>43</v>
      </c>
      <c r="C13" s="1" t="s">
        <v>25</v>
      </c>
      <c r="D13" s="1">
        <v>14.0719541</v>
      </c>
      <c r="E13" s="1">
        <v>120.9524324</v>
      </c>
      <c r="F13" s="1" t="s">
        <v>44</v>
      </c>
      <c r="G13" s="3" t="str">
        <f>IFERROR(__xludf.DUMMYFUNCTION("IF(REGEXMATCH(F13, ""(?:.*,\s*)?([^,]+),\s*([^,]+),\s*Philippines.*""), TRIM(REGEXREPLACE(REGEXREPLACE(F13, ""(?:.*,\s*)?([^,]+),\s*([^,]+),\s*Philippines.*"", ""$1, $2""), ""\d+"", """")), """")"),"Laurel, Batangas")</f>
        <v>Laurel, Batangas</v>
      </c>
    </row>
    <row r="14">
      <c r="A14" s="1" t="s">
        <v>45</v>
      </c>
      <c r="B14" s="1" t="s">
        <v>46</v>
      </c>
      <c r="C14" s="1" t="s">
        <v>25</v>
      </c>
      <c r="D14" s="1">
        <v>12.879721</v>
      </c>
      <c r="E14" s="1">
        <v>121.774017</v>
      </c>
      <c r="F14" s="1" t="s">
        <v>47</v>
      </c>
      <c r="G14" s="3" t="str">
        <f>IFERROR(__xludf.DUMMYFUNCTION("IF(REGEXMATCH(F14, ""(?:.*,\s*)?([^,]+),\s*([^,]+),\s*Philippines.*""), TRIM(REGEXREPLACE(REGEXREPLACE(F14, ""(?:.*,\s*)?([^,]+),\s*([^,]+),\s*Philippines.*"", ""$1, $2""), ""\d+"", """")), """")"),"")</f>
        <v/>
      </c>
    </row>
    <row r="15">
      <c r="A15" s="1" t="s">
        <v>48</v>
      </c>
      <c r="B15" s="1" t="s">
        <v>46</v>
      </c>
      <c r="C15" s="1" t="s">
        <v>25</v>
      </c>
      <c r="D15" s="1">
        <v>14.0668945</v>
      </c>
      <c r="E15" s="1">
        <v>120.6385749</v>
      </c>
      <c r="F15" s="1" t="s">
        <v>49</v>
      </c>
      <c r="G15" s="3" t="str">
        <f>IFERROR(__xludf.DUMMYFUNCTION("IF(REGEXMATCH(F15, ""(?:.*,\s*)?([^,]+),\s*([^,]+),\s*Philippines.*""), TRIM(REGEXREPLACE(REGEXREPLACE(F15, ""(?:.*,\s*)?([^,]+),\s*([^,]+),\s*Philippines.*"", ""$1, $2""), ""\d+"", """")), """")"),"Nasugbu, Batangas")</f>
        <v>Nasugbu, Batangas</v>
      </c>
    </row>
    <row r="16">
      <c r="A16" s="1" t="s">
        <v>50</v>
      </c>
      <c r="B16" s="1" t="s">
        <v>51</v>
      </c>
      <c r="C16" s="1" t="s">
        <v>25</v>
      </c>
      <c r="D16" s="1">
        <v>14.0717396</v>
      </c>
      <c r="E16" s="1">
        <v>121.3317724</v>
      </c>
      <c r="F16" s="1" t="s">
        <v>52</v>
      </c>
      <c r="G16" s="3" t="str">
        <f>IFERROR(__xludf.DUMMYFUNCTION("IF(REGEXMATCH(F16, ""(?:.*,\s*)?([^,]+),\s*([^,]+),\s*Philippines.*""), TRIM(REGEXREPLACE(REGEXREPLACE(F16, ""(?:.*,\s*)?([^,]+),\s*([^,]+),\s*Philippines.*"", ""$1, $2""), ""\d+"", """")), """")"),"San Pablo City, Laguna")</f>
        <v>San Pablo City, Laguna</v>
      </c>
    </row>
    <row r="17">
      <c r="A17" s="1" t="s">
        <v>53</v>
      </c>
      <c r="B17" s="1" t="s">
        <v>54</v>
      </c>
      <c r="C17" s="1" t="s">
        <v>25</v>
      </c>
      <c r="D17" s="1">
        <v>14.1605192</v>
      </c>
      <c r="E17" s="1">
        <v>120.8585076</v>
      </c>
      <c r="F17" s="1" t="s">
        <v>55</v>
      </c>
      <c r="G17" s="3" t="str">
        <f>IFERROR(__xludf.DUMMYFUNCTION("IF(REGEXMATCH(F17, ""(?:.*,\s*)?([^,]+),\s*([^,]+),\s*Philippines.*""), TRIM(REGEXREPLACE(REGEXREPLACE(F17, ""(?:.*,\s*)?([^,]+),\s*([^,]+),\s*Philippines.*"", ""$1, $2""), ""\d+"", """")), """")"),"Indang, Cavite")</f>
        <v>Indang, Cavite</v>
      </c>
    </row>
    <row r="18">
      <c r="A18" s="1" t="s">
        <v>56</v>
      </c>
      <c r="B18" s="1" t="s">
        <v>57</v>
      </c>
      <c r="C18" s="1" t="s">
        <v>25</v>
      </c>
      <c r="D18" s="1">
        <v>12.879721</v>
      </c>
      <c r="E18" s="1">
        <v>121.774017</v>
      </c>
      <c r="F18" s="1" t="s">
        <v>47</v>
      </c>
      <c r="G18" s="3" t="str">
        <f>IFERROR(__xludf.DUMMYFUNCTION("IF(REGEXMATCH(F18, ""(?:.*,\s*)?([^,]+),\s*([^,]+),\s*Philippines.*""), TRIM(REGEXREPLACE(REGEXREPLACE(F18, ""(?:.*,\s*)?([^,]+),\s*([^,]+),\s*Philippines.*"", ""$1, $2""), ""\d+"", """")), """")"),"")</f>
        <v/>
      </c>
    </row>
    <row r="19">
      <c r="A19" s="1" t="s">
        <v>58</v>
      </c>
      <c r="B19" s="1" t="s">
        <v>59</v>
      </c>
      <c r="C19" s="1" t="s">
        <v>25</v>
      </c>
      <c r="D19" s="1">
        <v>14.3823443</v>
      </c>
      <c r="E19" s="1">
        <v>120.8834106</v>
      </c>
      <c r="F19" s="1" t="s">
        <v>60</v>
      </c>
      <c r="G19" s="3" t="str">
        <f>IFERROR(__xludf.DUMMYFUNCTION("IF(REGEXMATCH(F19, ""(?:.*,\s*)?([^,]+),\s*([^,]+),\s*Philippines.*""), TRIM(REGEXREPLACE(REGEXREPLACE(F19, ""(?:.*,\s*)?([^,]+),\s*([^,]+),\s*Philippines.*"", ""$1, $2""), ""\d+"", """")), """")"),"General Trias, Cavite")</f>
        <v>General Trias, Cavite</v>
      </c>
    </row>
    <row r="20">
      <c r="A20" s="1" t="s">
        <v>61</v>
      </c>
      <c r="B20" s="1" t="s">
        <v>62</v>
      </c>
      <c r="C20" s="1" t="s">
        <v>9</v>
      </c>
      <c r="D20" s="1">
        <v>14.1903648</v>
      </c>
      <c r="E20" s="1">
        <v>121.7324626</v>
      </c>
      <c r="F20" s="1" t="s">
        <v>63</v>
      </c>
      <c r="G20" s="3" t="str">
        <f>IFERROR(__xludf.DUMMYFUNCTION("IF(REGEXMATCH(F20, ""(?:.*,\s*)?([^,]+),\s*([^,]+),\s*Philippines.*""), TRIM(REGEXREPLACE(REGEXREPLACE(F20, ""(?:.*,\s*)?([^,]+),\s*([^,]+),\s*Philippines.*"", ""$1, $2""), ""\d+"", """")), """")"),"Mauban, Quezon")</f>
        <v>Mauban, Quezon</v>
      </c>
    </row>
    <row r="21">
      <c r="A21" s="1" t="s">
        <v>64</v>
      </c>
      <c r="B21" s="1" t="s">
        <v>65</v>
      </c>
      <c r="C21" s="1" t="s">
        <v>9</v>
      </c>
      <c r="D21" s="1">
        <v>14.0265048</v>
      </c>
      <c r="E21" s="1">
        <v>121.5920043</v>
      </c>
      <c r="F21" s="1" t="s">
        <v>66</v>
      </c>
      <c r="G21" s="3" t="str">
        <f>IFERROR(__xludf.DUMMYFUNCTION("IF(REGEXMATCH(F21, ""(?:.*,\s*)?([^,]+),\s*([^,]+),\s*Philippines.*""), TRIM(REGEXREPLACE(REGEXREPLACE(F21, ""(?:.*,\s*)?([^,]+),\s*([^,]+),\s*Philippines.*"", ""$1, $2""), ""\d+"", """")), """")"),"City of Tayabas, Quezon")</f>
        <v>City of Tayabas, Quezon</v>
      </c>
    </row>
    <row r="22">
      <c r="A22" s="1" t="s">
        <v>67</v>
      </c>
      <c r="B22" s="1" t="s">
        <v>68</v>
      </c>
      <c r="C22" s="1" t="s">
        <v>9</v>
      </c>
      <c r="D22" s="1">
        <v>14.0265048</v>
      </c>
      <c r="E22" s="1">
        <v>121.5920043</v>
      </c>
      <c r="F22" s="1" t="s">
        <v>66</v>
      </c>
      <c r="G22" s="3" t="str">
        <f>IFERROR(__xludf.DUMMYFUNCTION("IF(REGEXMATCH(F22, ""(?:.*,\s*)?([^,]+),\s*([^,]+),\s*Philippines.*""), TRIM(REGEXREPLACE(REGEXREPLACE(F22, ""(?:.*,\s*)?([^,]+),\s*([^,]+),\s*Philippines.*"", ""$1, $2""), ""\d+"", """")), """")"),"City of Tayabas, Quezon")</f>
        <v>City of Tayabas, Quezon</v>
      </c>
    </row>
    <row r="23">
      <c r="A23" s="1" t="s">
        <v>69</v>
      </c>
      <c r="B23" s="1" t="s">
        <v>70</v>
      </c>
      <c r="C23" s="1" t="s">
        <v>9</v>
      </c>
      <c r="D23" s="1">
        <v>14.0265048</v>
      </c>
      <c r="E23" s="1">
        <v>121.5920043</v>
      </c>
      <c r="F23" s="1" t="s">
        <v>66</v>
      </c>
      <c r="G23" s="3" t="str">
        <f>IFERROR(__xludf.DUMMYFUNCTION("IF(REGEXMATCH(F23, ""(?:.*,\s*)?([^,]+),\s*([^,]+),\s*Philippines.*""), TRIM(REGEXREPLACE(REGEXREPLACE(F23, ""(?:.*,\s*)?([^,]+),\s*([^,]+),\s*Philippines.*"", ""$1, $2""), ""\d+"", """")), """")"),"City of Tayabas, Quezon")</f>
        <v>City of Tayabas, Quezon</v>
      </c>
    </row>
    <row r="24">
      <c r="A24" s="1" t="s">
        <v>71</v>
      </c>
      <c r="B24" s="1" t="s">
        <v>72</v>
      </c>
      <c r="C24" s="1" t="s">
        <v>9</v>
      </c>
      <c r="D24" s="1">
        <v>12.879721</v>
      </c>
      <c r="E24" s="1">
        <v>121.774017</v>
      </c>
      <c r="F24" s="1" t="s">
        <v>47</v>
      </c>
      <c r="G24" s="3" t="str">
        <f>IFERROR(__xludf.DUMMYFUNCTION("IF(REGEXMATCH(F24, ""(?:.*,\s*)?([^,]+),\s*([^,]+),\s*Philippines.*""), TRIM(REGEXREPLACE(REGEXREPLACE(F24, ""(?:.*,\s*)?([^,]+),\s*([^,]+),\s*Philippines.*"", ""$1, $2""), ""\d+"", """")), """")"),"")</f>
        <v/>
      </c>
    </row>
    <row r="25">
      <c r="A25" s="1" t="s">
        <v>73</v>
      </c>
      <c r="B25" s="1" t="s">
        <v>74</v>
      </c>
      <c r="C25" s="1" t="s">
        <v>9</v>
      </c>
      <c r="D25" s="1">
        <v>14.0711951</v>
      </c>
      <c r="E25" s="1">
        <v>121.3267743</v>
      </c>
      <c r="F25" s="1" t="s">
        <v>75</v>
      </c>
      <c r="G25" s="3" t="str">
        <f>IFERROR(__xludf.DUMMYFUNCTION("IF(REGEXMATCH(F25, ""(?:.*,\s*)?([^,]+),\s*([^,]+),\s*Philippines.*""), TRIM(REGEXREPLACE(REGEXREPLACE(F25, ""(?:.*,\s*)?([^,]+),\s*([^,]+),\s*Philippines.*"", ""$1, $2""), ""\d+"", """")), """")"),"San Pablo City, Laguna")</f>
        <v>San Pablo City, Laguna</v>
      </c>
    </row>
    <row r="26">
      <c r="A26" s="1" t="s">
        <v>76</v>
      </c>
      <c r="B26" s="1" t="s">
        <v>77</v>
      </c>
      <c r="C26" s="1" t="s">
        <v>9</v>
      </c>
      <c r="D26" s="1">
        <v>14.5558148</v>
      </c>
      <c r="E26" s="1">
        <v>121.1374318</v>
      </c>
      <c r="F26" s="1" t="s">
        <v>78</v>
      </c>
      <c r="G26" s="3" t="str">
        <f>IFERROR(__xludf.DUMMYFUNCTION("IF(REGEXMATCH(F26, ""(?:.*,\s*)?([^,]+),\s*([^,]+),\s*Philippines.*""), TRIM(REGEXREPLACE(REGEXREPLACE(F26, ""(?:.*,\s*)?([^,]+),\s*([^,]+),\s*Philippines.*"", ""$1, $2""), ""\d+"", """")), """")"),"Taytay, Rizal")</f>
        <v>Taytay, Rizal</v>
      </c>
    </row>
    <row r="27">
      <c r="A27" s="1" t="s">
        <v>79</v>
      </c>
      <c r="B27" s="1" t="s">
        <v>80</v>
      </c>
      <c r="C27" s="1" t="s">
        <v>9</v>
      </c>
      <c r="D27" s="1">
        <v>14.2833727</v>
      </c>
      <c r="E27" s="1">
        <v>121.4147121</v>
      </c>
      <c r="F27" s="1" t="s">
        <v>81</v>
      </c>
      <c r="G27" s="3" t="str">
        <f>IFERROR(__xludf.DUMMYFUNCTION("IF(REGEXMATCH(F27, ""(?:.*,\s*)?([^,]+),\s*([^,]+),\s*Philippines.*""), TRIM(REGEXREPLACE(REGEXREPLACE(F27, ""(?:.*,\s*)?([^,]+),\s*([^,]+),\s*Philippines.*"", ""$1, $2""), ""\d+"", """")), """")"),"Santa Cruz, Laguna")</f>
        <v>Santa Cruz, Laguna</v>
      </c>
    </row>
    <row r="28">
      <c r="A28" s="1" t="s">
        <v>82</v>
      </c>
      <c r="B28" s="1" t="s">
        <v>83</v>
      </c>
      <c r="C28" s="1" t="s">
        <v>9</v>
      </c>
      <c r="D28" s="1">
        <v>14.746333</v>
      </c>
      <c r="E28" s="1">
        <v>121.651389</v>
      </c>
      <c r="F28" s="1" t="s">
        <v>84</v>
      </c>
      <c r="G28" s="3" t="str">
        <f>IFERROR(__xludf.DUMMYFUNCTION("IF(REGEXMATCH(F28, ""(?:.*,\s*)?([^,]+),\s*([^,]+),\s*Philippines.*""), TRIM(REGEXREPLACE(REGEXREPLACE(F28, ""(?:.*,\s*)?([^,]+),\s*([^,]+),\s*Philippines.*"", ""$1, $2""), ""\d+"", """")), """")"),"Infanta, Quezon")</f>
        <v>Infanta, Quezon</v>
      </c>
    </row>
    <row r="29">
      <c r="A29" s="1" t="s">
        <v>85</v>
      </c>
      <c r="B29" s="1" t="s">
        <v>86</v>
      </c>
      <c r="C29" s="1" t="s">
        <v>9</v>
      </c>
      <c r="D29" s="1">
        <v>14.2833727</v>
      </c>
      <c r="E29" s="1">
        <v>121.4147121</v>
      </c>
      <c r="F29" s="1" t="s">
        <v>81</v>
      </c>
      <c r="G29" s="3" t="str">
        <f>IFERROR(__xludf.DUMMYFUNCTION("IF(REGEXMATCH(F29, ""(?:.*,\s*)?([^,]+),\s*([^,]+),\s*Philippines.*""), TRIM(REGEXREPLACE(REGEXREPLACE(F29, ""(?:.*,\s*)?([^,]+),\s*([^,]+),\s*Philippines.*"", ""$1, $2""), ""\d+"", """")), """")"),"Santa Cruz, Laguna")</f>
        <v>Santa Cruz, Laguna</v>
      </c>
    </row>
    <row r="30">
      <c r="A30" s="1" t="s">
        <v>87</v>
      </c>
      <c r="B30" s="1" t="s">
        <v>88</v>
      </c>
      <c r="C30" s="1" t="s">
        <v>25</v>
      </c>
      <c r="D30" s="1">
        <v>14.066975</v>
      </c>
      <c r="E30" s="1">
        <v>120.6329228</v>
      </c>
      <c r="F30" s="1" t="s">
        <v>89</v>
      </c>
      <c r="G30" s="3" t="str">
        <f>IFERROR(__xludf.DUMMYFUNCTION("IF(REGEXMATCH(F30, ""(?:.*,\s*)?([^,]+),\s*([^,]+),\s*Philippines.*""), TRIM(REGEXREPLACE(REGEXREPLACE(F30, ""(?:.*,\s*)?([^,]+),\s*([^,]+),\s*Philippines.*"", ""$1, $2""), ""\d+"", """")), """")"),"Nasugbu, Batangas")</f>
        <v>Nasugbu, Batangas</v>
      </c>
    </row>
    <row r="31">
      <c r="A31" s="1" t="s">
        <v>90</v>
      </c>
      <c r="B31" s="1" t="s">
        <v>91</v>
      </c>
      <c r="C31" s="1" t="s">
        <v>25</v>
      </c>
      <c r="D31" s="1">
        <v>12.879721</v>
      </c>
      <c r="E31" s="1">
        <v>121.774017</v>
      </c>
      <c r="F31" s="1" t="s">
        <v>47</v>
      </c>
      <c r="G31" s="3" t="str">
        <f>IFERROR(__xludf.DUMMYFUNCTION("IF(REGEXMATCH(F31, ""(?:.*,\s*)?([^,]+),\s*([^,]+),\s*Philippines.*""), TRIM(REGEXREPLACE(REGEXREPLACE(F31, ""(?:.*,\s*)?([^,]+),\s*([^,]+),\s*Philippines.*"", ""$1, $2""), ""\d+"", """")), """")"),"")</f>
        <v/>
      </c>
    </row>
    <row r="32">
      <c r="A32" s="1" t="s">
        <v>92</v>
      </c>
      <c r="B32" s="1" t="s">
        <v>93</v>
      </c>
      <c r="C32" s="1" t="s">
        <v>25</v>
      </c>
      <c r="D32" s="1">
        <v>14.2041503</v>
      </c>
      <c r="E32" s="1">
        <v>120.9667353</v>
      </c>
      <c r="F32" s="1" t="s">
        <v>94</v>
      </c>
      <c r="G32" s="3" t="str">
        <f>IFERROR(__xludf.DUMMYFUNCTION("IF(REGEXMATCH(F32, ""(?:.*,\s*)?([^,]+),\s*([^,]+),\s*Philippines.*""), TRIM(REGEXREPLACE(REGEXREPLACE(F32, ""(?:.*,\s*)?([^,]+),\s*([^,]+),\s*Philippines.*"", ""$1, $2""), ""\d+"", """")), """")"),"Silang, Cavite")</f>
        <v>Silang, Cavite</v>
      </c>
    </row>
    <row r="33">
      <c r="A33" s="1" t="s">
        <v>95</v>
      </c>
      <c r="B33" s="1" t="s">
        <v>96</v>
      </c>
      <c r="C33" s="1" t="s">
        <v>25</v>
      </c>
      <c r="D33" s="1">
        <v>14.219399</v>
      </c>
      <c r="E33" s="1">
        <v>121.0370033</v>
      </c>
      <c r="F33" s="1" t="s">
        <v>97</v>
      </c>
      <c r="G33" s="3" t="str">
        <f>IFERROR(__xludf.DUMMYFUNCTION("IF(REGEXMATCH(F33, ""(?:.*,\s*)?([^,]+),\s*([^,]+),\s*Philippines.*""), TRIM(REGEXREPLACE(REGEXREPLACE(F33, ""(?:.*,\s*)?([^,]+),\s*([^,]+),\s*Philippines.*"", ""$1, $2""), ""\d+"", """")), """")"),"Silang, Cavite")</f>
        <v>Silang, Cavite</v>
      </c>
    </row>
    <row r="34">
      <c r="A34" s="1" t="s">
        <v>98</v>
      </c>
      <c r="B34" s="1" t="s">
        <v>96</v>
      </c>
      <c r="C34" s="1" t="s">
        <v>25</v>
      </c>
      <c r="D34" s="1">
        <v>14.219399</v>
      </c>
      <c r="E34" s="1">
        <v>121.0370033</v>
      </c>
      <c r="F34" s="1" t="s">
        <v>97</v>
      </c>
      <c r="G34" s="3" t="str">
        <f>IFERROR(__xludf.DUMMYFUNCTION("IF(REGEXMATCH(F34, ""(?:.*,\s*)?([^,]+),\s*([^,]+),\s*Philippines.*""), TRIM(REGEXREPLACE(REGEXREPLACE(F34, ""(?:.*,\s*)?([^,]+),\s*([^,]+),\s*Philippines.*"", ""$1, $2""), ""\d+"", """")), """")"),"Silang, Cavite")</f>
        <v>Silang, Cavite</v>
      </c>
    </row>
    <row r="35">
      <c r="A35" s="1" t="s">
        <v>99</v>
      </c>
      <c r="B35" s="1" t="s">
        <v>100</v>
      </c>
      <c r="C35" s="1" t="s">
        <v>13</v>
      </c>
      <c r="D35" s="1">
        <v>14.562687</v>
      </c>
      <c r="E35" s="1">
        <v>121.138639</v>
      </c>
      <c r="F35" s="1" t="s">
        <v>101</v>
      </c>
      <c r="G35" s="3" t="str">
        <f>IFERROR(__xludf.DUMMYFUNCTION("IF(REGEXMATCH(F35, ""(?:.*,\s*)?([^,]+),\s*([^,]+),\s*Philippines.*""), TRIM(REGEXREPLACE(REGEXREPLACE(F35, ""(?:.*,\s*)?([^,]+),\s*([^,]+),\s*Philippines.*"", ""$1, $2""), ""\d+"", """")), """")"),"Taytay, Rizal")</f>
        <v>Taytay, Rizal</v>
      </c>
    </row>
    <row r="36">
      <c r="A36" s="1" t="s">
        <v>102</v>
      </c>
      <c r="B36" s="1" t="s">
        <v>103</v>
      </c>
      <c r="C36" s="1" t="s">
        <v>13</v>
      </c>
      <c r="D36" s="1">
        <v>14.6292864</v>
      </c>
      <c r="E36" s="1">
        <v>121.0128184</v>
      </c>
      <c r="F36" s="1" t="s">
        <v>104</v>
      </c>
      <c r="G36" s="3" t="str">
        <f>IFERROR(__xludf.DUMMYFUNCTION("IF(REGEXMATCH(F36, ""(?:.*,\s*)?([^,]+),\s*([^,]+),\s*Philippines.*""), TRIM(REGEXREPLACE(REGEXREPLACE(F36, ""(?:.*,\s*)?([^,]+),\s*([^,]+),\s*Philippines.*"", ""$1, $2""), ""\d+"", """")), """")"),"Quezon City, Metro Manila")</f>
        <v>Quezon City, Metro Manila</v>
      </c>
    </row>
    <row r="37">
      <c r="A37" s="1" t="s">
        <v>105</v>
      </c>
      <c r="B37" s="1" t="s">
        <v>106</v>
      </c>
      <c r="C37" s="1" t="s">
        <v>9</v>
      </c>
      <c r="D37" s="1">
        <v>14.3539736</v>
      </c>
      <c r="E37" s="1">
        <v>120.9503435</v>
      </c>
      <c r="F37" s="1" t="s">
        <v>107</v>
      </c>
      <c r="G37" s="3" t="str">
        <f>IFERROR(__xludf.DUMMYFUNCTION("IF(REGEXMATCH(F37, ""(?:.*,\s*)?([^,]+),\s*([^,]+),\s*Philippines.*""), TRIM(REGEXREPLACE(REGEXREPLACE(F37, ""(?:.*,\s*)?([^,]+),\s*([^,]+),\s*Philippines.*"", ""$1, $2""), ""\d+"", """")), """")"),"Dasmariñas, Cavite")</f>
        <v>Dasmariñas, Cavite</v>
      </c>
    </row>
    <row r="38">
      <c r="A38" s="1" t="s">
        <v>108</v>
      </c>
      <c r="B38" s="1" t="s">
        <v>109</v>
      </c>
      <c r="C38" s="1" t="s">
        <v>25</v>
      </c>
      <c r="D38" s="1">
        <v>15.1418921</v>
      </c>
      <c r="E38" s="1">
        <v>120.5939278</v>
      </c>
      <c r="F38" s="1" t="s">
        <v>110</v>
      </c>
      <c r="G38" s="3" t="str">
        <f>IFERROR(__xludf.DUMMYFUNCTION("IF(REGEXMATCH(F38, ""(?:.*,\s*)?([^,]+),\s*([^,]+),\s*Philippines.*""), TRIM(REGEXREPLACE(REGEXREPLACE(F38, ""(?:.*,\s*)?([^,]+),\s*([^,]+),\s*Philippines.*"", ""$1, $2""), ""\d+"", """")), """")"),"Angeles, Pampanga")</f>
        <v>Angeles, Pampanga</v>
      </c>
    </row>
    <row r="39">
      <c r="A39" s="1" t="s">
        <v>111</v>
      </c>
      <c r="B39" s="1" t="s">
        <v>112</v>
      </c>
      <c r="C39" s="1" t="s">
        <v>25</v>
      </c>
      <c r="D39" s="1">
        <v>14.3679706</v>
      </c>
      <c r="E39" s="1">
        <v>121.0626885</v>
      </c>
      <c r="F39" s="1" t="s">
        <v>113</v>
      </c>
      <c r="G39" s="3" t="str">
        <f>IFERROR(__xludf.DUMMYFUNCTION("IF(REGEXMATCH(F39, ""(?:.*,\s*)?([^,]+),\s*([^,]+),\s*Philippines.*""), TRIM(REGEXREPLACE(REGEXREPLACE(F39, ""(?:.*,\s*)?([^,]+),\s*([^,]+),\s*Philippines.*"", ""$1, $2""), ""\d+"", """")), """")"),"San Pedro, Laguna")</f>
        <v>San Pedro, Laguna</v>
      </c>
    </row>
    <row r="40">
      <c r="A40" s="1" t="s">
        <v>114</v>
      </c>
      <c r="B40" s="1" t="s">
        <v>115</v>
      </c>
      <c r="C40" s="1" t="s">
        <v>9</v>
      </c>
      <c r="D40" s="1">
        <v>13.934196</v>
      </c>
      <c r="E40" s="1">
        <v>120.9267112</v>
      </c>
      <c r="F40" s="1" t="s">
        <v>116</v>
      </c>
      <c r="G40" s="3" t="str">
        <f>IFERROR(__xludf.DUMMYFUNCTION("IF(REGEXMATCH(F40, ""(?:.*,\s*)?([^,]+),\s*([^,]+),\s*Philippines.*""), TRIM(REGEXREPLACE(REGEXREPLACE(F40, ""(?:.*,\s*)?([^,]+),\s*([^,]+),\s*Philippines.*"", ""$1, $2""), ""\d+"", """")), """")"),"Agoncillo, Batangas")</f>
        <v>Agoncillo, Batangas</v>
      </c>
    </row>
    <row r="41">
      <c r="A41" s="1" t="s">
        <v>117</v>
      </c>
      <c r="B41" s="1" t="s">
        <v>118</v>
      </c>
      <c r="C41" s="1" t="s">
        <v>25</v>
      </c>
      <c r="D41" s="1">
        <v>14.2548275</v>
      </c>
      <c r="E41" s="1">
        <v>121.1283502</v>
      </c>
      <c r="F41" s="1" t="s">
        <v>119</v>
      </c>
      <c r="G41" s="3" t="str">
        <f>IFERROR(__xludf.DUMMYFUNCTION("IF(REGEXMATCH(F41, ""(?:.*,\s*)?([^,]+),\s*([^,]+),\s*Philippines.*""), TRIM(REGEXREPLACE(REGEXREPLACE(F41, ""(?:.*,\s*)?([^,]+),\s*([^,]+),\s*Philippines.*"", ""$1, $2""), ""\d+"", """")), """")"),"Cabuyao City, Laguna")</f>
        <v>Cabuyao City, Laguna</v>
      </c>
    </row>
    <row r="42">
      <c r="A42" s="1" t="s">
        <v>120</v>
      </c>
      <c r="B42" s="1" t="s">
        <v>118</v>
      </c>
      <c r="C42" s="1" t="s">
        <v>9</v>
      </c>
      <c r="D42" s="1">
        <v>14.2548275</v>
      </c>
      <c r="E42" s="1">
        <v>121.1283502</v>
      </c>
      <c r="F42" s="1" t="s">
        <v>119</v>
      </c>
      <c r="G42" s="3" t="str">
        <f>IFERROR(__xludf.DUMMYFUNCTION("IF(REGEXMATCH(F42, ""(?:.*,\s*)?([^,]+),\s*([^,]+),\s*Philippines.*""), TRIM(REGEXREPLACE(REGEXREPLACE(F42, ""(?:.*,\s*)?([^,]+),\s*([^,]+),\s*Philippines.*"", ""$1, $2""), ""\d+"", """")), """")"),"Cabuyao City, Laguna")</f>
        <v>Cabuyao City, Laguna</v>
      </c>
    </row>
    <row r="43">
      <c r="A43" s="1" t="s">
        <v>121</v>
      </c>
      <c r="B43" s="1" t="s">
        <v>122</v>
      </c>
      <c r="C43" s="1" t="s">
        <v>9</v>
      </c>
      <c r="D43" s="1">
        <v>14.6292906</v>
      </c>
      <c r="E43" s="1">
        <v>121.2251629</v>
      </c>
      <c r="F43" s="1" t="s">
        <v>123</v>
      </c>
      <c r="G43" s="3" t="str">
        <f>IFERROR(__xludf.DUMMYFUNCTION("IF(REGEXMATCH(F43, ""(?:.*,\s*)?([^,]+),\s*([^,]+),\s*Philippines.*""), TRIM(REGEXREPLACE(REGEXREPLACE(F43, ""(?:.*,\s*)?([^,]+),\s*([^,]+),\s*Philippines.*"", ""$1, $2""), ""\d+"", """")), """")"),"Antipolo, Lalawigan ng Rizal")</f>
        <v>Antipolo, Lalawigan ng Rizal</v>
      </c>
    </row>
    <row r="44">
      <c r="A44" s="1" t="s">
        <v>124</v>
      </c>
      <c r="B44" s="1" t="s">
        <v>125</v>
      </c>
      <c r="C44" s="1" t="s">
        <v>13</v>
      </c>
      <c r="D44" s="1">
        <v>13.5487164</v>
      </c>
      <c r="E44" s="1">
        <v>122.3664864</v>
      </c>
      <c r="F44" s="1" t="s">
        <v>126</v>
      </c>
      <c r="G44" s="3" t="str">
        <f>IFERROR(__xludf.DUMMYFUNCTION("IF(REGEXMATCH(F44, ""(?:.*,\s*)?([^,]+),\s*([^,]+),\s*Philippines.*""), TRIM(REGEXREPLACE(REGEXREPLACE(F44, ""(?:.*,\s*)?([^,]+),\s*([^,]+),\s*Philippines.*"", ""$1, $2""), ""\d+"", """")), """")"),"Mulanay, Quezon")</f>
        <v>Mulanay, Quezon</v>
      </c>
    </row>
    <row r="45">
      <c r="A45" s="1" t="s">
        <v>127</v>
      </c>
      <c r="B45" s="1" t="s">
        <v>128</v>
      </c>
      <c r="C45" s="1" t="s">
        <v>13</v>
      </c>
      <c r="D45" s="1">
        <v>14.1025569</v>
      </c>
      <c r="E45" s="1">
        <v>122.0166648</v>
      </c>
      <c r="F45" s="1" t="s">
        <v>129</v>
      </c>
      <c r="G45" s="3" t="str">
        <f>IFERROR(__xludf.DUMMYFUNCTION("IF(REGEXMATCH(F45, ""(?:.*,\s*)?([^,]+),\s*([^,]+),\s*Philippines.*""), TRIM(REGEXREPLACE(REGEXREPLACE(F45, ""(?:.*,\s*)?([^,]+),\s*([^,]+),\s*Philippines.*"", ""$1, $2""), ""\d+"", """")), """")"),"Alabat, Quezon")</f>
        <v>Alabat, Quezon</v>
      </c>
    </row>
    <row r="46">
      <c r="A46" s="1" t="s">
        <v>130</v>
      </c>
      <c r="B46" s="1" t="s">
        <v>131</v>
      </c>
      <c r="C46" s="1" t="s">
        <v>13</v>
      </c>
      <c r="D46" s="1">
        <v>14.0641803</v>
      </c>
      <c r="E46" s="1">
        <v>121.24427</v>
      </c>
      <c r="F46" s="1" t="s">
        <v>132</v>
      </c>
      <c r="G46" s="3" t="str">
        <f>IFERROR(__xludf.DUMMYFUNCTION("IF(REGEXMATCH(F46, ""(?:.*,\s*)?([^,]+),\s*([^,]+),\s*Philippines.*""), TRIM(REGEXREPLACE(REGEXREPLACE(F46, ""(?:.*,\s*)?([^,]+),\s*([^,]+),\s*Philippines.*"", ""$1, $2""), ""\d+"", """")), """")"),"Alaminos, Laguna")</f>
        <v>Alaminos, Laguna</v>
      </c>
    </row>
    <row r="47">
      <c r="A47" s="1" t="s">
        <v>133</v>
      </c>
      <c r="B47" s="1" t="s">
        <v>134</v>
      </c>
      <c r="C47" s="1" t="s">
        <v>9</v>
      </c>
      <c r="D47" s="1">
        <v>13.7879204</v>
      </c>
      <c r="E47" s="1">
        <v>121.0681692</v>
      </c>
      <c r="F47" s="1" t="s">
        <v>135</v>
      </c>
      <c r="G47" s="3" t="str">
        <f>IFERROR(__xludf.DUMMYFUNCTION("IF(REGEXMATCH(F47, ""(?:.*,\s*)?([^,]+),\s*([^,]+),\s*Philippines.*""), TRIM(REGEXREPLACE(REGEXREPLACE(F47, ""(?:.*,\s*)?([^,]+),\s*([^,]+),\s*Philippines.*"", ""$1, $2""), ""\d+"", """")), """")"),"Batangas City, Batangas")</f>
        <v>Batangas City, Batangas</v>
      </c>
    </row>
    <row r="48">
      <c r="A48" s="1" t="s">
        <v>136</v>
      </c>
      <c r="B48" s="1" t="s">
        <v>137</v>
      </c>
      <c r="C48" s="1" t="s">
        <v>13</v>
      </c>
      <c r="D48" s="1">
        <v>13.6315084</v>
      </c>
      <c r="E48" s="1">
        <v>122.346425</v>
      </c>
      <c r="F48" s="1" t="s">
        <v>138</v>
      </c>
      <c r="G48" s="3" t="str">
        <f>IFERROR(__xludf.DUMMYFUNCTION("IF(REGEXMATCH(F48, ""(?:.*,\s*)?([^,]+),\s*([^,]+),\s*Philippines.*""), TRIM(REGEXREPLACE(REGEXREPLACE(F48, ""(?:.*,\s*)?([^,]+),\s*([^,]+),\s*Philippines.*"", ""$1, $2""), ""\d+"", """")), """")"),"Catanauan, Quezon")</f>
        <v>Catanauan, Quezon</v>
      </c>
    </row>
    <row r="49">
      <c r="A49" s="1" t="s">
        <v>139</v>
      </c>
      <c r="B49" s="1" t="s">
        <v>140</v>
      </c>
      <c r="C49" s="1" t="s">
        <v>25</v>
      </c>
      <c r="D49" s="1">
        <v>12.879721</v>
      </c>
      <c r="E49" s="1">
        <v>121.774017</v>
      </c>
      <c r="F49" s="1" t="s">
        <v>47</v>
      </c>
      <c r="G49" s="3" t="str">
        <f>IFERROR(__xludf.DUMMYFUNCTION("IF(REGEXMATCH(F49, ""(?:.*,\s*)?([^,]+),\s*([^,]+),\s*Philippines.*""), TRIM(REGEXREPLACE(REGEXREPLACE(F49, ""(?:.*,\s*)?([^,]+),\s*([^,]+),\s*Philippines.*"", ""$1, $2""), ""\d+"", """")), """")"),"")</f>
        <v/>
      </c>
    </row>
    <row r="50">
      <c r="A50" s="1" t="s">
        <v>141</v>
      </c>
      <c r="B50" s="1" t="s">
        <v>142</v>
      </c>
      <c r="C50" s="1" t="s">
        <v>25</v>
      </c>
      <c r="D50" s="1">
        <v>12.879721</v>
      </c>
      <c r="E50" s="1">
        <v>121.774017</v>
      </c>
      <c r="F50" s="1" t="s">
        <v>47</v>
      </c>
      <c r="G50" s="3" t="str">
        <f>IFERROR(__xludf.DUMMYFUNCTION("IF(REGEXMATCH(F50, ""(?:.*,\s*)?([^,]+),\s*([^,]+),\s*Philippines.*""), TRIM(REGEXREPLACE(REGEXREPLACE(F50, ""(?:.*,\s*)?([^,]+),\s*([^,]+),\s*Philippines.*"", ""$1, $2""), ""\d+"", """")), """")"),"")</f>
        <v/>
      </c>
    </row>
    <row r="51">
      <c r="A51" s="1" t="s">
        <v>143</v>
      </c>
      <c r="B51" s="1" t="s">
        <v>144</v>
      </c>
      <c r="C51" s="1" t="s">
        <v>13</v>
      </c>
      <c r="D51" s="1">
        <v>14.3307444</v>
      </c>
      <c r="E51" s="1">
        <v>120.8072307</v>
      </c>
      <c r="F51" s="1" t="s">
        <v>145</v>
      </c>
      <c r="G51" s="3" t="str">
        <f>IFERROR(__xludf.DUMMYFUNCTION("IF(REGEXMATCH(F51, ""(?:.*,\s*)?([^,]+),\s*([^,]+),\s*Philippines.*""), TRIM(REGEXREPLACE(REGEXREPLACE(F51, ""(?:.*,\s*)?([^,]+),\s*([^,]+),\s*Philippines.*"", ""$1, $2""), ""\d+"", """")), """")"),"Naic, Cavite")</f>
        <v>Naic, Cavite</v>
      </c>
    </row>
    <row r="52">
      <c r="A52" s="1" t="s">
        <v>146</v>
      </c>
      <c r="B52" s="1" t="s">
        <v>147</v>
      </c>
      <c r="C52" s="1" t="s">
        <v>9</v>
      </c>
      <c r="D52" s="1">
        <v>13.8660155</v>
      </c>
      <c r="E52" s="1">
        <v>121.005156</v>
      </c>
      <c r="F52" s="1" t="s">
        <v>148</v>
      </c>
      <c r="G52" s="3" t="str">
        <f>IFERROR(__xludf.DUMMYFUNCTION("IF(REGEXMATCH(F52, ""(?:.*,\s*)?([^,]+),\s*([^,]+),\s*Philippines.*""), TRIM(REGEXREPLACE(REGEXREPLACE(F52, ""(?:.*,\s*)?([^,]+),\s*([^,]+),\s*Philippines.*"", ""$1, $2""), ""\d+"", """")), """")"),"Alitagtag, Batangas")</f>
        <v>Alitagtag, Batangas</v>
      </c>
    </row>
    <row r="53">
      <c r="A53" s="1" t="s">
        <v>149</v>
      </c>
      <c r="B53" s="1" t="s">
        <v>150</v>
      </c>
      <c r="C53" s="1" t="s">
        <v>9</v>
      </c>
      <c r="D53" s="1">
        <v>13.8628493</v>
      </c>
      <c r="E53" s="1">
        <v>121.0072113</v>
      </c>
      <c r="F53" s="1" t="s">
        <v>151</v>
      </c>
      <c r="G53" s="3" t="str">
        <f>IFERROR(__xludf.DUMMYFUNCTION("IF(REGEXMATCH(F53, ""(?:.*,\s*)?([^,]+),\s*([^,]+),\s*Philippines.*""), TRIM(REGEXREPLACE(REGEXREPLACE(F53, ""(?:.*,\s*)?([^,]+),\s*([^,]+),\s*Philippines.*"", ""$1, $2""), ""\d+"", """")), """")"),"Alitagtag, Batangas")</f>
        <v>Alitagtag, Batangas</v>
      </c>
    </row>
    <row r="54">
      <c r="A54" s="1" t="s">
        <v>152</v>
      </c>
      <c r="B54" s="1" t="s">
        <v>153</v>
      </c>
      <c r="C54" s="1" t="s">
        <v>25</v>
      </c>
      <c r="D54" s="1">
        <v>15.0278121</v>
      </c>
      <c r="E54" s="1">
        <v>120.6934882</v>
      </c>
      <c r="F54" s="1" t="s">
        <v>154</v>
      </c>
      <c r="G54" s="3" t="str">
        <f>IFERROR(__xludf.DUMMYFUNCTION("IF(REGEXMATCH(F54, ""(?:.*,\s*)?([^,]+),\s*([^,]+),\s*Philippines.*""), TRIM(REGEXREPLACE(REGEXREPLACE(F54, ""(?:.*,\s*)?([^,]+),\s*([^,]+),\s*Philippines.*"", ""$1, $2""), ""\d+"", """")), """")"),"San Fernando, Pampanga")</f>
        <v>San Fernando, Pampanga</v>
      </c>
    </row>
    <row r="55">
      <c r="A55" s="1" t="s">
        <v>155</v>
      </c>
      <c r="B55" s="1" t="s">
        <v>156</v>
      </c>
      <c r="C55" s="1" t="s">
        <v>13</v>
      </c>
      <c r="D55" s="1">
        <v>13.9886308</v>
      </c>
      <c r="E55" s="1">
        <v>122.3688445</v>
      </c>
      <c r="F55" s="1" t="s">
        <v>157</v>
      </c>
      <c r="G55" s="3" t="str">
        <f>IFERROR(__xludf.DUMMYFUNCTION("IF(REGEXMATCH(F55, ""(?:.*,\s*)?([^,]+),\s*([^,]+),\s*Philippines.*""), TRIM(REGEXREPLACE(REGEXREPLACE(F55, ""(?:.*,\s*)?([^,]+),\s*([^,]+),\s*Philippines.*"", ""$1, $2""), ""\d+"", """")), """")"),"Guinayangan, Quezon")</f>
        <v>Guinayangan, Quezon</v>
      </c>
    </row>
    <row r="56">
      <c r="A56" s="1" t="s">
        <v>158</v>
      </c>
      <c r="B56" s="1" t="s">
        <v>159</v>
      </c>
      <c r="C56" s="1" t="s">
        <v>25</v>
      </c>
      <c r="D56" s="1">
        <v>14.3297907</v>
      </c>
      <c r="E56" s="1">
        <v>121.0959775</v>
      </c>
      <c r="F56" s="1" t="s">
        <v>160</v>
      </c>
      <c r="G56" s="3" t="str">
        <f>IFERROR(__xludf.DUMMYFUNCTION("IF(REGEXMATCH(F56, ""(?:.*,\s*)?([^,]+),\s*([^,]+),\s*Philippines.*""), TRIM(REGEXREPLACE(REGEXREPLACE(F56, ""(?:.*,\s*)?([^,]+),\s*([^,]+),\s*Philippines.*"", ""$1, $2""), ""\d+"", """")), """")"),"Biñan, Laguna")</f>
        <v>Biñan, Laguna</v>
      </c>
    </row>
    <row r="57">
      <c r="A57" s="1" t="s">
        <v>161</v>
      </c>
      <c r="B57" s="1" t="s">
        <v>162</v>
      </c>
      <c r="C57" s="1" t="s">
        <v>25</v>
      </c>
      <c r="D57" s="1">
        <v>14.5484154</v>
      </c>
      <c r="E57" s="1">
        <v>121.365769</v>
      </c>
      <c r="F57" s="1" t="s">
        <v>163</v>
      </c>
      <c r="G57" s="3" t="str">
        <f>IFERROR(__xludf.DUMMYFUNCTION("IF(REGEXMATCH(F57, ""(?:.*,\s*)?([^,]+),\s*([^,]+),\s*Philippines.*""), TRIM(REGEXREPLACE(REGEXREPLACE(F57, ""(?:.*,\s*)?([^,]+),\s*([^,]+),\s*Philippines.*"", ""$1, $2""), ""\d+"", """")), """")"),"Tanay, Rizal")</f>
        <v>Tanay, Rizal</v>
      </c>
    </row>
    <row r="58">
      <c r="A58" s="1" t="s">
        <v>164</v>
      </c>
      <c r="B58" s="1" t="s">
        <v>165</v>
      </c>
      <c r="C58" s="1" t="s">
        <v>9</v>
      </c>
      <c r="D58" s="1">
        <v>13.960213</v>
      </c>
      <c r="E58" s="1">
        <v>121.615004</v>
      </c>
      <c r="F58" s="1" t="s">
        <v>166</v>
      </c>
      <c r="G58" s="3" t="str">
        <f>IFERROR(__xludf.DUMMYFUNCTION("IF(REGEXMATCH(F58, ""(?:.*,\s*)?([^,]+),\s*([^,]+),\s*Philippines.*""), TRIM(REGEXREPLACE(REGEXREPLACE(F58, ""(?:.*,\s*)?([^,]+),\s*([^,]+),\s*Philippines.*"", ""$1, $2""), ""\d+"", """")), """")"),"Lucena City, Quezon")</f>
        <v>Lucena City, Quezon</v>
      </c>
    </row>
    <row r="59">
      <c r="A59" s="1" t="s">
        <v>167</v>
      </c>
      <c r="B59" s="1" t="s">
        <v>168</v>
      </c>
      <c r="C59" s="1" t="s">
        <v>13</v>
      </c>
      <c r="D59" s="1">
        <v>13.8459883</v>
      </c>
      <c r="E59" s="1">
        <v>121.2933674</v>
      </c>
      <c r="F59" s="1" t="s">
        <v>169</v>
      </c>
      <c r="G59" s="3" t="str">
        <f>IFERROR(__xludf.DUMMYFUNCTION("IF(REGEXMATCH(F59, ""(?:.*,\s*)?([^,]+),\s*([^,]+),\s*Philippines.*""), TRIM(REGEXREPLACE(REGEXREPLACE(F59, ""(?:.*,\s*)?([^,]+),\s*([^,]+),\s*Philippines.*"", ""$1, $2""), ""\d+"", """")), """")"),"Rosario, Batangas")</f>
        <v>Rosario, Batangas</v>
      </c>
    </row>
    <row r="60">
      <c r="A60" s="1" t="s">
        <v>170</v>
      </c>
      <c r="B60" s="1" t="s">
        <v>171</v>
      </c>
      <c r="C60" s="1" t="s">
        <v>9</v>
      </c>
      <c r="D60" s="1">
        <v>14.2818375</v>
      </c>
      <c r="E60" s="1">
        <v>120.9133594</v>
      </c>
      <c r="F60" s="1" t="s">
        <v>172</v>
      </c>
      <c r="G60" s="3" t="str">
        <f>IFERROR(__xludf.DUMMYFUNCTION("IF(REGEXMATCH(F60, ""(?:.*,\s*)?([^,]+),\s*([^,]+),\s*Philippines.*""), TRIM(REGEXREPLACE(REGEXREPLACE(F60, ""(?:.*,\s*)?([^,]+),\s*([^,]+),\s*Philippines.*"", ""$1, $2""), ""\d+"", """")), """")"),"General Trias, Cavite")</f>
        <v>General Trias, Cavite</v>
      </c>
    </row>
    <row r="61">
      <c r="A61" s="1" t="s">
        <v>173</v>
      </c>
      <c r="B61" s="1" t="s">
        <v>174</v>
      </c>
      <c r="C61" s="1" t="s">
        <v>9</v>
      </c>
      <c r="D61" s="1">
        <v>14.6233399</v>
      </c>
      <c r="E61" s="1">
        <v>121.1162498</v>
      </c>
      <c r="F61" s="1" t="s">
        <v>175</v>
      </c>
      <c r="G61" s="3" t="str">
        <f>IFERROR(__xludf.DUMMYFUNCTION("IF(REGEXMATCH(F61, ""(?:.*,\s*)?([^,]+),\s*([^,]+),\s*Philippines.*""), TRIM(REGEXREPLACE(REGEXREPLACE(F61, ""(?:.*,\s*)?([^,]+),\s*([^,]+),\s*Philippines.*"", ""$1, $2""), ""\d+"", """")), """")"),"Antipolo, Rizal")</f>
        <v>Antipolo, Rizal</v>
      </c>
    </row>
    <row r="62">
      <c r="A62" s="1" t="s">
        <v>176</v>
      </c>
      <c r="B62" s="1" t="s">
        <v>177</v>
      </c>
      <c r="C62" s="1" t="s">
        <v>25</v>
      </c>
      <c r="D62" s="1">
        <v>14.6037446</v>
      </c>
      <c r="E62" s="1">
        <v>121.3084088</v>
      </c>
      <c r="F62" s="1" t="s">
        <v>178</v>
      </c>
      <c r="G62" s="3" t="str">
        <f>IFERROR(__xludf.DUMMYFUNCTION("IF(REGEXMATCH(F62, ""(?:.*,\s*)?([^,]+),\s*([^,]+),\s*Philippines.*""), TRIM(REGEXREPLACE(REGEXREPLACE(F62, ""(?:.*,\s*)?([^,]+),\s*([^,]+),\s*Philippines.*"", ""$1, $2""), ""\d+"", """")), """")"),"")</f>
        <v/>
      </c>
    </row>
    <row r="63">
      <c r="A63" s="1" t="s">
        <v>179</v>
      </c>
      <c r="B63" s="1" t="s">
        <v>180</v>
      </c>
      <c r="C63" s="1" t="s">
        <v>9</v>
      </c>
      <c r="D63" s="1">
        <v>14.3355578</v>
      </c>
      <c r="E63" s="1">
        <v>121.0779269</v>
      </c>
      <c r="F63" s="1" t="s">
        <v>181</v>
      </c>
      <c r="G63" s="3" t="str">
        <f>IFERROR(__xludf.DUMMYFUNCTION("IF(REGEXMATCH(F63, ""(?:.*,\s*)?([^,]+),\s*([^,]+),\s*Philippines.*""), TRIM(REGEXREPLACE(REGEXREPLACE(F63, ""(?:.*,\s*)?([^,]+),\s*([^,]+),\s*Philippines.*"", ""$1, $2""), ""\d+"", """")), """")"),"Biñan, Laguna")</f>
        <v>Biñan, Laguna</v>
      </c>
    </row>
    <row r="64">
      <c r="A64" s="1" t="s">
        <v>182</v>
      </c>
      <c r="B64" s="1" t="s">
        <v>183</v>
      </c>
      <c r="C64" s="1" t="s">
        <v>9</v>
      </c>
      <c r="D64" s="1">
        <v>14.3438821</v>
      </c>
      <c r="E64" s="1">
        <v>121.0689402</v>
      </c>
      <c r="F64" s="1" t="s">
        <v>184</v>
      </c>
      <c r="G64" s="3" t="str">
        <f>IFERROR(__xludf.DUMMYFUNCTION("IF(REGEXMATCH(F64, ""(?:.*,\s*)?([^,]+),\s*([^,]+),\s*Philippines.*""), TRIM(REGEXREPLACE(REGEXREPLACE(F64, ""(?:.*,\s*)?([^,]+),\s*([^,]+),\s*Philippines.*"", ""$1, $2""), ""\d+"", """")), """")"),"Biñan, Laguna")</f>
        <v>Biñan, Laguna</v>
      </c>
    </row>
    <row r="65">
      <c r="A65" s="1" t="s">
        <v>185</v>
      </c>
      <c r="B65" s="1" t="s">
        <v>186</v>
      </c>
      <c r="C65" s="1" t="s">
        <v>9</v>
      </c>
      <c r="D65" s="1">
        <v>14.217525</v>
      </c>
      <c r="E65" s="1">
        <v>121.142131</v>
      </c>
      <c r="F65" s="1" t="s">
        <v>187</v>
      </c>
      <c r="G65" s="3" t="str">
        <f>IFERROR(__xludf.DUMMYFUNCTION("IF(REGEXMATCH(F65, ""(?:.*,\s*)?([^,]+),\s*([^,]+),\s*Philippines.*""), TRIM(REGEXREPLACE(REGEXREPLACE(F65, ""(?:.*,\s*)?([^,]+),\s*([^,]+),\s*Philippines.*"", ""$1, $2""), ""\d+"", """")), """")"),"Calamba, Laguna")</f>
        <v>Calamba, Laguna</v>
      </c>
    </row>
    <row r="66">
      <c r="A66" s="1" t="s">
        <v>188</v>
      </c>
      <c r="B66" s="1" t="s">
        <v>189</v>
      </c>
      <c r="C66" s="1" t="s">
        <v>9</v>
      </c>
      <c r="D66" s="1">
        <v>14.3002942</v>
      </c>
      <c r="E66" s="1">
        <v>120.9563801</v>
      </c>
      <c r="F66" s="1" t="s">
        <v>190</v>
      </c>
      <c r="G66" s="3" t="str">
        <f>IFERROR(__xludf.DUMMYFUNCTION("IF(REGEXMATCH(F66, ""(?:.*,\s*)?([^,]+),\s*([^,]+),\s*Philippines.*""), TRIM(REGEXREPLACE(REGEXREPLACE(F66, ""(?:.*,\s*)?([^,]+),\s*([^,]+),\s*Philippines.*"", ""$1, $2""), ""\d+"", """")), """")"),"Trece Martires City, Cavite")</f>
        <v>Trece Martires City, Cavite</v>
      </c>
    </row>
    <row r="67">
      <c r="A67" s="1" t="s">
        <v>191</v>
      </c>
      <c r="B67" s="1" t="s">
        <v>192</v>
      </c>
      <c r="C67" s="1" t="s">
        <v>9</v>
      </c>
      <c r="D67" s="1">
        <v>13.9513481</v>
      </c>
      <c r="E67" s="1">
        <v>121.1606144</v>
      </c>
      <c r="F67" s="1" t="s">
        <v>193</v>
      </c>
      <c r="G67" s="3" t="str">
        <f>IFERROR(__xludf.DUMMYFUNCTION("IF(REGEXMATCH(F67, ""(?:.*,\s*)?([^,]+),\s*([^,]+),\s*Philippines.*""), TRIM(REGEXREPLACE(REGEXREPLACE(F67, ""(?:.*,\s*)?([^,]+),\s*([^,]+),\s*Philippines.*"", ""$1, $2""), ""\d+"", """")), """")"),"Lipa City, Batangas")</f>
        <v>Lipa City, Batangas</v>
      </c>
    </row>
    <row r="68">
      <c r="A68" s="1" t="s">
        <v>194</v>
      </c>
      <c r="B68" s="1" t="s">
        <v>195</v>
      </c>
      <c r="C68" s="1" t="s">
        <v>9</v>
      </c>
      <c r="D68" s="1">
        <v>13.9344456</v>
      </c>
      <c r="E68" s="1">
        <v>121.60358</v>
      </c>
      <c r="F68" s="1" t="s">
        <v>196</v>
      </c>
      <c r="G68" s="3" t="str">
        <f>IFERROR(__xludf.DUMMYFUNCTION("IF(REGEXMATCH(F68, ""(?:.*,\s*)?([^,]+),\s*([^,]+),\s*Philippines.*""), TRIM(REGEXREPLACE(REGEXREPLACE(F68, ""(?:.*,\s*)?([^,]+),\s*([^,]+),\s*Philippines.*"", ""$1, $2""), ""\d+"", """")), """")"),"Lucena City, Quezon")</f>
        <v>Lucena City, Quezon</v>
      </c>
    </row>
    <row r="69">
      <c r="A69" s="1" t="s">
        <v>197</v>
      </c>
      <c r="B69" s="1" t="s">
        <v>198</v>
      </c>
      <c r="C69" s="1" t="s">
        <v>9</v>
      </c>
      <c r="D69" s="1">
        <v>14.266435</v>
      </c>
      <c r="E69" s="1">
        <v>121.4257119</v>
      </c>
      <c r="F69" s="1" t="s">
        <v>199</v>
      </c>
      <c r="G69" s="3" t="str">
        <f>IFERROR(__xludf.DUMMYFUNCTION("IF(REGEXMATCH(F69, ""(?:.*,\s*)?([^,]+),\s*([^,]+),\s*Philippines.*""), TRIM(REGEXREPLACE(REGEXREPLACE(F69, ""(?:.*,\s*)?([^,]+),\s*([^,]+),\s*Philippines.*"", ""$1, $2""), ""\d+"", """")), """")"),"Santa Cruz, Laguna")</f>
        <v>Santa Cruz, Laguna</v>
      </c>
    </row>
    <row r="70">
      <c r="A70" s="1" t="s">
        <v>200</v>
      </c>
      <c r="B70" s="1" t="s">
        <v>201</v>
      </c>
      <c r="C70" s="1" t="s">
        <v>9</v>
      </c>
      <c r="D70" s="1">
        <v>14.266435</v>
      </c>
      <c r="E70" s="1">
        <v>121.4257119</v>
      </c>
      <c r="F70" s="1" t="s">
        <v>199</v>
      </c>
      <c r="G70" s="3" t="str">
        <f>IFERROR(__xludf.DUMMYFUNCTION("IF(REGEXMATCH(F70, ""(?:.*,\s*)?([^,]+),\s*([^,]+),\s*Philippines.*""), TRIM(REGEXREPLACE(REGEXREPLACE(F70, ""(?:.*,\s*)?([^,]+),\s*([^,]+),\s*Philippines.*"", ""$1, $2""), ""\d+"", """")), """")"),"Santa Cruz, Laguna")</f>
        <v>Santa Cruz, Laguna</v>
      </c>
    </row>
    <row r="71">
      <c r="A71" s="1" t="s">
        <v>202</v>
      </c>
      <c r="B71" s="1" t="s">
        <v>203</v>
      </c>
      <c r="C71" s="1" t="s">
        <v>9</v>
      </c>
      <c r="D71" s="1">
        <v>14.0714317</v>
      </c>
      <c r="E71" s="1">
        <v>121.3273561</v>
      </c>
      <c r="F71" s="1" t="s">
        <v>204</v>
      </c>
      <c r="G71" s="3" t="str">
        <f>IFERROR(__xludf.DUMMYFUNCTION("IF(REGEXMATCH(F71, ""(?:.*,\s*)?([^,]+),\s*([^,]+),\s*Philippines.*""), TRIM(REGEXREPLACE(REGEXREPLACE(F71, ""(?:.*,\s*)?([^,]+),\s*([^,]+),\s*Philippines.*"", ""$1, $2""), ""\d+"", """")), """")"),"San Pablo City, Laguna")</f>
        <v>San Pablo City, Laguna</v>
      </c>
    </row>
    <row r="72">
      <c r="A72" s="1" t="s">
        <v>205</v>
      </c>
      <c r="B72" s="1" t="s">
        <v>206</v>
      </c>
      <c r="C72" s="1" t="s">
        <v>9</v>
      </c>
      <c r="D72" s="1">
        <v>14.5813687</v>
      </c>
      <c r="E72" s="1">
        <v>121.1759566</v>
      </c>
      <c r="F72" s="1" t="s">
        <v>207</v>
      </c>
      <c r="G72" s="3" t="str">
        <f>IFERROR(__xludf.DUMMYFUNCTION("IF(REGEXMATCH(F72, ""(?:.*,\s*)?([^,]+),\s*([^,]+),\s*Philippines.*""), TRIM(REGEXREPLACE(REGEXREPLACE(F72, ""(?:.*,\s*)?([^,]+),\s*([^,]+),\s*Philippines.*"", ""$1, $2""), ""\d+"", """")), """")"),"Antipolo, Rizal")</f>
        <v>Antipolo, Rizal</v>
      </c>
    </row>
    <row r="73">
      <c r="A73" s="1" t="s">
        <v>208</v>
      </c>
      <c r="B73" s="1" t="s">
        <v>209</v>
      </c>
      <c r="C73" s="1" t="s">
        <v>9</v>
      </c>
      <c r="D73" s="1">
        <v>14.4371058</v>
      </c>
      <c r="E73" s="1">
        <v>120.9484604</v>
      </c>
      <c r="F73" s="1" t="s">
        <v>210</v>
      </c>
      <c r="G73" s="3" t="str">
        <f>IFERROR(__xludf.DUMMYFUNCTION("IF(REGEXMATCH(F73, ""(?:.*,\s*)?([^,]+),\s*([^,]+),\s*Philippines.*""), TRIM(REGEXREPLACE(REGEXREPLACE(F73, ""(?:.*,\s*)?([^,]+),\s*([^,]+),\s*Philippines.*"", ""$1, $2""), ""\d+"", """")), """")"),"Bacoor, Cavite")</f>
        <v>Bacoor, Cavite</v>
      </c>
    </row>
    <row r="74">
      <c r="A74" s="1" t="s">
        <v>211</v>
      </c>
      <c r="B74" s="1" t="s">
        <v>212</v>
      </c>
      <c r="C74" s="1" t="s">
        <v>9</v>
      </c>
      <c r="D74" s="1">
        <v>13.7627407</v>
      </c>
      <c r="E74" s="1">
        <v>121.0568049</v>
      </c>
      <c r="F74" s="1" t="s">
        <v>213</v>
      </c>
      <c r="G74" s="3" t="str">
        <f>IFERROR(__xludf.DUMMYFUNCTION("IF(REGEXMATCH(F74, ""(?:.*,\s*)?([^,]+),\s*([^,]+),\s*Philippines.*""), TRIM(REGEXREPLACE(REGEXREPLACE(F74, ""(?:.*,\s*)?([^,]+),\s*([^,]+),\s*Philippines.*"", ""$1, $2""), ""\d+"", """")), """")"),"Batangas City, Batangas")</f>
        <v>Batangas City, Batangas</v>
      </c>
    </row>
    <row r="75">
      <c r="A75" s="1" t="s">
        <v>214</v>
      </c>
      <c r="B75" s="1" t="s">
        <v>215</v>
      </c>
      <c r="C75" s="1" t="s">
        <v>9</v>
      </c>
      <c r="D75" s="1">
        <v>14.3257122</v>
      </c>
      <c r="E75" s="1">
        <v>120.9403023</v>
      </c>
      <c r="F75" s="1" t="s">
        <v>216</v>
      </c>
      <c r="G75" s="3" t="str">
        <f>IFERROR(__xludf.DUMMYFUNCTION("IF(REGEXMATCH(F75, ""(?:.*,\s*)?([^,]+),\s*([^,]+),\s*Philippines.*""), TRIM(REGEXREPLACE(REGEXREPLACE(F75, ""(?:.*,\s*)?([^,]+),\s*([^,]+),\s*Philippines.*"", ""$1, $2""), ""\d+"", """")), """")"),"Dasmariñas, Cavite")</f>
        <v>Dasmariñas, Cavite</v>
      </c>
    </row>
    <row r="76">
      <c r="A76" s="1" t="s">
        <v>217</v>
      </c>
      <c r="B76" s="1" t="s">
        <v>218</v>
      </c>
      <c r="C76" s="1" t="s">
        <v>9</v>
      </c>
      <c r="D76" s="1">
        <v>14.0693636</v>
      </c>
      <c r="E76" s="1">
        <v>121.3245846</v>
      </c>
      <c r="F76" s="1" t="s">
        <v>219</v>
      </c>
      <c r="G76" s="3" t="str">
        <f>IFERROR(__xludf.DUMMYFUNCTION("IF(REGEXMATCH(F76, ""(?:.*,\s*)?([^,]+),\s*([^,]+),\s*Philippines.*""), TRIM(REGEXREPLACE(REGEXREPLACE(F76, ""(?:.*,\s*)?([^,]+),\s*([^,]+),\s*Philippines.*"", ""$1, $2""), ""\d+"", """")), """")"),"San Pablo City, Laguna")</f>
        <v>San Pablo City, Laguna</v>
      </c>
    </row>
    <row r="77">
      <c r="A77" s="1" t="s">
        <v>220</v>
      </c>
      <c r="B77" s="1" t="s">
        <v>221</v>
      </c>
      <c r="C77" s="1" t="s">
        <v>9</v>
      </c>
      <c r="D77" s="1">
        <v>14.3649399</v>
      </c>
      <c r="E77" s="1">
        <v>121.0555192</v>
      </c>
      <c r="F77" s="1" t="s">
        <v>222</v>
      </c>
      <c r="G77" s="3" t="str">
        <f>IFERROR(__xludf.DUMMYFUNCTION("IF(REGEXMATCH(F77, ""(?:.*,\s*)?([^,]+),\s*([^,]+),\s*Philippines.*""), TRIM(REGEXREPLACE(REGEXREPLACE(F77, ""(?:.*,\s*)?([^,]+),\s*([^,]+),\s*Philippines.*"", ""$1, $2""), ""\d+"", """")), """")"),"San Pedro, Laguna")</f>
        <v>San Pedro, Laguna</v>
      </c>
    </row>
    <row r="78">
      <c r="A78" s="1" t="s">
        <v>223</v>
      </c>
      <c r="B78" s="1" t="s">
        <v>224</v>
      </c>
      <c r="C78" s="1" t="s">
        <v>13</v>
      </c>
      <c r="D78" s="1">
        <v>14.1766528</v>
      </c>
      <c r="E78" s="1">
        <v>120.9283994</v>
      </c>
      <c r="F78" s="1" t="s">
        <v>225</v>
      </c>
      <c r="G78" s="3" t="str">
        <f>IFERROR(__xludf.DUMMYFUNCTION("IF(REGEXMATCH(F78, ""(?:.*,\s*)?([^,]+),\s*([^,]+),\s*Philippines.*""), TRIM(REGEXREPLACE(REGEXREPLACE(F78, ""(?:.*,\s*)?([^,]+),\s*([^,]+),\s*Philippines.*"", ""$1, $2""), ""\d+"", """")), """")"),"Amadeo, Cavite")</f>
        <v>Amadeo, Cavite</v>
      </c>
    </row>
    <row r="79">
      <c r="A79" s="1" t="s">
        <v>226</v>
      </c>
      <c r="B79" s="1" t="s">
        <v>227</v>
      </c>
      <c r="C79" s="1" t="s">
        <v>13</v>
      </c>
      <c r="D79" s="1">
        <v>14.3696931</v>
      </c>
      <c r="E79" s="1">
        <v>120.8255879</v>
      </c>
      <c r="F79" s="1" t="s">
        <v>228</v>
      </c>
      <c r="G79" s="3" t="str">
        <f>IFERROR(__xludf.DUMMYFUNCTION("IF(REGEXMATCH(F79, ""(?:.*,\s*)?([^,]+),\s*([^,]+),\s*Philippines.*""), TRIM(REGEXREPLACE(REGEXREPLACE(F79, ""(?:.*,\s*)?([^,]+),\s*([^,]+),\s*Philippines.*"", ""$1, $2""), ""\d+"", """")), """")"),"Tanza, Cavite")</f>
        <v>Tanza, Cavite</v>
      </c>
    </row>
    <row r="80">
      <c r="A80" s="1" t="s">
        <v>229</v>
      </c>
      <c r="B80" s="1" t="s">
        <v>230</v>
      </c>
      <c r="C80" s="1" t="s">
        <v>13</v>
      </c>
      <c r="D80" s="1">
        <v>13.8296994</v>
      </c>
      <c r="E80" s="1">
        <v>122.101763</v>
      </c>
      <c r="F80" s="1" t="s">
        <v>231</v>
      </c>
      <c r="G80" s="3" t="str">
        <f>IFERROR(__xludf.DUMMYFUNCTION("IF(REGEXMATCH(F80, ""(?:.*,\s*)?([^,]+),\s*([^,]+),\s*Philippines.*""), TRIM(REGEXREPLACE(REGEXREPLACE(F80, ""(?:.*,\s*)?([^,]+),\s*([^,]+),\s*Philippines.*"", ""$1, $2""), ""\d+"", """")), """")"),"Pitogo, Quezon")</f>
        <v>Pitogo, Quezon</v>
      </c>
    </row>
    <row r="81">
      <c r="A81" s="1" t="s">
        <v>232</v>
      </c>
      <c r="B81" s="1" t="s">
        <v>233</v>
      </c>
      <c r="C81" s="1" t="s">
        <v>25</v>
      </c>
      <c r="D81" s="1">
        <v>14.27108</v>
      </c>
      <c r="E81" s="1">
        <v>120.8728678</v>
      </c>
      <c r="F81" s="1" t="s">
        <v>234</v>
      </c>
      <c r="G81" s="3" t="str">
        <f>IFERROR(__xludf.DUMMYFUNCTION("IF(REGEXMATCH(F81, ""(?:.*,\s*)?([^,]+),\s*([^,]+),\s*Philippines.*""), TRIM(REGEXREPLACE(REGEXREPLACE(F81, ""(?:.*,\s*)?([^,]+),\s*([^,]+),\s*Philippines.*"", ""$1, $2""), ""\d+"", """")), """")"),"Trece Martires City, Cavite")</f>
        <v>Trece Martires City, Cavite</v>
      </c>
    </row>
    <row r="82">
      <c r="A82" s="1" t="s">
        <v>235</v>
      </c>
      <c r="B82" s="1" t="s">
        <v>236</v>
      </c>
      <c r="C82" s="1" t="s">
        <v>25</v>
      </c>
      <c r="D82" s="1">
        <v>14.27108</v>
      </c>
      <c r="E82" s="1">
        <v>120.8728678</v>
      </c>
      <c r="F82" s="1" t="s">
        <v>234</v>
      </c>
      <c r="G82" s="3" t="str">
        <f>IFERROR(__xludf.DUMMYFUNCTION("IF(REGEXMATCH(F82, ""(?:.*,\s*)?([^,]+),\s*([^,]+),\s*Philippines.*""), TRIM(REGEXREPLACE(REGEXREPLACE(F82, ""(?:.*,\s*)?([^,]+),\s*([^,]+),\s*Philippines.*"", ""$1, $2""), ""\d+"", """")), """")"),"Trece Martires City, Cavite")</f>
        <v>Trece Martires City, Cavite</v>
      </c>
    </row>
    <row r="83">
      <c r="A83" s="1" t="s">
        <v>237</v>
      </c>
      <c r="B83" s="1" t="s">
        <v>238</v>
      </c>
      <c r="C83" s="1" t="s">
        <v>13</v>
      </c>
      <c r="D83" s="1">
        <v>13.9699843</v>
      </c>
      <c r="E83" s="1">
        <v>122.2455364</v>
      </c>
      <c r="F83" s="1" t="s">
        <v>239</v>
      </c>
      <c r="G83" s="3" t="str">
        <f>IFERROR(__xludf.DUMMYFUNCTION("IF(REGEXMATCH(F83, ""(?:.*,\s*)?([^,]+),\s*([^,]+),\s*Philippines.*""), TRIM(REGEXREPLACE(REGEXREPLACE(F83, ""(?:.*,\s*)?([^,]+),\s*([^,]+),\s*Philippines.*"", ""$1, $2""), ""\d+"", """")), """")"),"Calauag, Quezon")</f>
        <v>Calauag, Quezon</v>
      </c>
    </row>
    <row r="84">
      <c r="A84" s="1" t="s">
        <v>240</v>
      </c>
      <c r="B84" s="1" t="s">
        <v>241</v>
      </c>
      <c r="C84" s="1" t="s">
        <v>13</v>
      </c>
      <c r="D84" s="1">
        <v>13.71136</v>
      </c>
      <c r="E84" s="1">
        <v>121.400802</v>
      </c>
      <c r="F84" s="1" t="s">
        <v>242</v>
      </c>
      <c r="G84" s="3" t="str">
        <f>IFERROR(__xludf.DUMMYFUNCTION("IF(REGEXMATCH(F84, ""(?:.*,\s*)?([^,]+),\s*([^,]+),\s*Philippines.*""), TRIM(REGEXREPLACE(REGEXREPLACE(F84, ""(?:.*,\s*)?([^,]+),\s*([^,]+),\s*Philippines.*"", ""$1, $2""), ""\d+"", """")), """")"),"San Juan, Batangas")</f>
        <v>San Juan, Batangas</v>
      </c>
    </row>
    <row r="85">
      <c r="A85" s="1" t="s">
        <v>243</v>
      </c>
      <c r="B85" s="1" t="s">
        <v>244</v>
      </c>
      <c r="C85" s="1" t="s">
        <v>25</v>
      </c>
      <c r="D85" s="1">
        <v>12.879721</v>
      </c>
      <c r="E85" s="1">
        <v>121.774017</v>
      </c>
      <c r="F85" s="1" t="s">
        <v>47</v>
      </c>
      <c r="G85" s="3" t="str">
        <f>IFERROR(__xludf.DUMMYFUNCTION("IF(REGEXMATCH(F85, ""(?:.*,\s*)?([^,]+),\s*([^,]+),\s*Philippines.*""), TRIM(REGEXREPLACE(REGEXREPLACE(F85, ""(?:.*,\s*)?([^,]+),\s*([^,]+),\s*Philippines.*"", ""$1, $2""), ""\d+"", """")), """")"),"")</f>
        <v/>
      </c>
    </row>
    <row r="86">
      <c r="A86" s="1" t="s">
        <v>245</v>
      </c>
      <c r="B86" s="1" t="s">
        <v>246</v>
      </c>
      <c r="C86" s="1" t="s">
        <v>9</v>
      </c>
      <c r="D86" s="1">
        <v>14.2730396</v>
      </c>
      <c r="E86" s="1">
        <v>121.4549042</v>
      </c>
      <c r="F86" s="1" t="s">
        <v>247</v>
      </c>
      <c r="G86" s="3" t="str">
        <f>IFERROR(__xludf.DUMMYFUNCTION("IF(REGEXMATCH(F86, ""(?:.*,\s*)?([^,]+),\s*([^,]+),\s*Philippines.*""), TRIM(REGEXREPLACE(REGEXREPLACE(F86, ""(?:.*,\s*)?([^,]+),\s*([^,]+),\s*Philippines.*"", ""$1, $2""), ""\d+"", """")), """")"),"Pagsanjan, Laguna")</f>
        <v>Pagsanjan, Laguna</v>
      </c>
    </row>
    <row r="87">
      <c r="A87" s="1" t="s">
        <v>248</v>
      </c>
      <c r="B87" s="1" t="s">
        <v>249</v>
      </c>
      <c r="C87" s="1" t="s">
        <v>9</v>
      </c>
      <c r="D87" s="1">
        <v>14.2976929</v>
      </c>
      <c r="E87" s="1">
        <v>121.0494114</v>
      </c>
      <c r="F87" s="1" t="s">
        <v>250</v>
      </c>
      <c r="G87" s="3" t="str">
        <f>IFERROR(__xludf.DUMMYFUNCTION("IF(REGEXMATCH(F87, ""(?:.*,\s*)?([^,]+),\s*([^,]+),\s*Philippines.*""), TRIM(REGEXREPLACE(REGEXREPLACE(F87, ""(?:.*,\s*)?([^,]+),\s*([^,]+),\s*Philippines.*"", ""$1, $2""), ""\d+"", """")), """")"),"Carmona, Cavite")</f>
        <v>Carmona, Cavite</v>
      </c>
    </row>
    <row r="88">
      <c r="A88" s="1" t="s">
        <v>251</v>
      </c>
      <c r="B88" s="1" t="s">
        <v>252</v>
      </c>
      <c r="C88" s="1" t="s">
        <v>13</v>
      </c>
      <c r="D88" s="1">
        <v>14.2659098</v>
      </c>
      <c r="E88" s="1">
        <v>121.1269232</v>
      </c>
      <c r="F88" s="1" t="s">
        <v>253</v>
      </c>
      <c r="G88" s="3" t="str">
        <f>IFERROR(__xludf.DUMMYFUNCTION("IF(REGEXMATCH(F88, ""(?:.*,\s*)?([^,]+),\s*([^,]+),\s*Philippines.*""), TRIM(REGEXREPLACE(REGEXREPLACE(F88, ""(?:.*,\s*)?([^,]+),\s*([^,]+),\s*Philippines.*"", ""$1, $2""), ""\d+"", """")), """")"),"Cabuyao City, Laguna")</f>
        <v>Cabuyao City, Laguna</v>
      </c>
    </row>
    <row r="89">
      <c r="A89" s="1" t="s">
        <v>254</v>
      </c>
      <c r="C89" s="1" t="s">
        <v>13</v>
      </c>
      <c r="D89" s="1">
        <v>14.5274793</v>
      </c>
      <c r="E89" s="1">
        <v>121.146658</v>
      </c>
      <c r="F89" s="1" t="s">
        <v>255</v>
      </c>
      <c r="G89" s="3" t="str">
        <f>IFERROR(__xludf.DUMMYFUNCTION("IF(REGEXMATCH(F89, ""(?:.*,\s*)?([^,]+),\s*([^,]+),\s*Philippines.*""), TRIM(REGEXREPLACE(REGEXREPLACE(F89, ""(?:.*,\s*)?([^,]+),\s*([^,]+),\s*Philippines.*"", ""$1, $2""), ""\d+"", """")), """")"),"Angono, Rizal")</f>
        <v>Angono, Rizal</v>
      </c>
    </row>
    <row r="90">
      <c r="A90" s="1" t="s">
        <v>256</v>
      </c>
      <c r="B90" s="1" t="s">
        <v>257</v>
      </c>
      <c r="C90" s="1" t="s">
        <v>25</v>
      </c>
      <c r="D90" s="1">
        <v>14.5202864</v>
      </c>
      <c r="E90" s="1">
        <v>121.1545806</v>
      </c>
      <c r="F90" s="1" t="s">
        <v>258</v>
      </c>
      <c r="G90" s="3" t="str">
        <f>IFERROR(__xludf.DUMMYFUNCTION("IF(REGEXMATCH(F90, ""(?:.*,\s*)?([^,]+),\s*([^,]+),\s*Philippines.*""), TRIM(REGEXREPLACE(REGEXREPLACE(F90, ""(?:.*,\s*)?([^,]+),\s*([^,]+),\s*Philippines.*"", ""$1, $2""), ""\d+"", """")), """")"),"Binangonan, Rizal")</f>
        <v>Binangonan, Rizal</v>
      </c>
    </row>
    <row r="91">
      <c r="A91" s="1" t="s">
        <v>259</v>
      </c>
      <c r="B91" s="1" t="s">
        <v>260</v>
      </c>
      <c r="C91" s="1" t="s">
        <v>9</v>
      </c>
      <c r="D91" s="1">
        <v>14.1711924</v>
      </c>
      <c r="E91" s="1">
        <v>121.1334729</v>
      </c>
      <c r="F91" s="1" t="s">
        <v>261</v>
      </c>
      <c r="G91" s="3" t="str">
        <f>IFERROR(__xludf.DUMMYFUNCTION("IF(REGEXMATCH(F91, ""(?:.*,\s*)?([^,]+),\s*([^,]+),\s*Philippines.*""), TRIM(REGEXREPLACE(REGEXREPLACE(F91, ""(?:.*,\s*)?([^,]+),\s*([^,]+),\s*Philippines.*"", ""$1, $2""), ""\d+"", """")), """")"),"Calamba, Laguna")</f>
        <v>Calamba, Laguna</v>
      </c>
    </row>
    <row r="92">
      <c r="A92" s="1" t="s">
        <v>262</v>
      </c>
      <c r="B92" s="1" t="s">
        <v>263</v>
      </c>
      <c r="C92" s="1" t="s">
        <v>13</v>
      </c>
      <c r="D92" s="1">
        <v>13.9047637</v>
      </c>
      <c r="E92" s="1">
        <v>121.1739024</v>
      </c>
      <c r="F92" s="1" t="s">
        <v>264</v>
      </c>
      <c r="G92" s="3" t="str">
        <f>IFERROR(__xludf.DUMMYFUNCTION("IF(REGEXMATCH(F92, ""(?:.*,\s*)?([^,]+),\s*([^,]+),\s*Philippines.*""), TRIM(REGEXREPLACE(REGEXREPLACE(F92, ""(?:.*,\s*)?([^,]+),\s*([^,]+),\s*Philippines.*"", ""$1, $2""), ""\d+"", """")), """")"),"Lipa City, Batangas")</f>
        <v>Lipa City, Batangas</v>
      </c>
    </row>
    <row r="93">
      <c r="A93" s="1" t="s">
        <v>265</v>
      </c>
      <c r="B93" s="1" t="s">
        <v>266</v>
      </c>
      <c r="C93" s="1" t="s">
        <v>9</v>
      </c>
      <c r="D93" s="1">
        <v>14.3052255</v>
      </c>
      <c r="E93" s="1">
        <v>121.0678847</v>
      </c>
      <c r="F93" s="1" t="s">
        <v>267</v>
      </c>
      <c r="G93" s="3" t="str">
        <f>IFERROR(__xludf.DUMMYFUNCTION("IF(REGEXMATCH(F93, ""(?:.*,\s*)?([^,]+),\s*([^,]+),\s*Philippines.*""), TRIM(REGEXREPLACE(REGEXREPLACE(F93, ""(?:.*,\s*)?([^,]+),\s*([^,]+),\s*Philippines.*"", ""$1, $2""), ""\d+"", """")), """")"),"Biñan, Laguna")</f>
        <v>Biñan, Laguna</v>
      </c>
    </row>
    <row r="94">
      <c r="A94" s="1" t="s">
        <v>268</v>
      </c>
      <c r="B94" s="1" t="s">
        <v>269</v>
      </c>
      <c r="C94" s="1" t="s">
        <v>25</v>
      </c>
      <c r="D94" s="1">
        <v>14.6721921</v>
      </c>
      <c r="E94" s="1">
        <v>121.0357691</v>
      </c>
      <c r="F94" s="1" t="s">
        <v>270</v>
      </c>
      <c r="G94" s="3" t="str">
        <f>IFERROR(__xludf.DUMMYFUNCTION("IF(REGEXMATCH(F94, ""(?:.*,\s*)?([^,]+),\s*([^,]+),\s*Philippines.*""), TRIM(REGEXREPLACE(REGEXREPLACE(F94, ""(?:.*,\s*)?([^,]+),\s*([^,]+),\s*Philippines.*"", ""$1, $2""), ""\d+"", """")), """")"),"Quezon City, Metro Manila")</f>
        <v>Quezon City, Metro Manila</v>
      </c>
    </row>
    <row r="95">
      <c r="A95" s="1" t="s">
        <v>271</v>
      </c>
      <c r="B95" s="1" t="s">
        <v>272</v>
      </c>
      <c r="C95" s="1" t="s">
        <v>13</v>
      </c>
      <c r="D95" s="1">
        <v>13.7432994</v>
      </c>
      <c r="E95" s="1">
        <v>120.9376126</v>
      </c>
      <c r="F95" s="1" t="s">
        <v>273</v>
      </c>
      <c r="G95" s="3" t="str">
        <f>IFERROR(__xludf.DUMMYFUNCTION("IF(REGEXMATCH(F95, ""(?:.*,\s*)?([^,]+),\s*([^,]+),\s*Philippines.*""), TRIM(REGEXREPLACE(REGEXREPLACE(F95, ""(?:.*,\s*)?([^,]+),\s*([^,]+),\s*Philippines.*"", ""$1, $2""), ""\d+"", """")), """")"),"Mabini, Batangas")</f>
        <v>Mabini, Batangas</v>
      </c>
    </row>
    <row r="96">
      <c r="A96" s="1" t="s">
        <v>274</v>
      </c>
      <c r="B96" s="1" t="s">
        <v>275</v>
      </c>
      <c r="C96" s="1" t="s">
        <v>13</v>
      </c>
      <c r="D96" s="1">
        <v>14.5846541</v>
      </c>
      <c r="E96" s="1">
        <v>121.1757096</v>
      </c>
      <c r="F96" s="1" t="s">
        <v>276</v>
      </c>
      <c r="G96" s="3" t="str">
        <f>IFERROR(__xludf.DUMMYFUNCTION("IF(REGEXMATCH(F96, ""(?:.*,\s*)?([^,]+),\s*([^,]+),\s*Philippines.*""), TRIM(REGEXREPLACE(REGEXREPLACE(F96, ""(?:.*,\s*)?([^,]+),\s*([^,]+),\s*Philippines.*"", ""$1, $2""), ""\d+"", """")), """")"),"Antipolo, Rizal")</f>
        <v>Antipolo, Rizal</v>
      </c>
    </row>
    <row r="97">
      <c r="A97" s="1" t="s">
        <v>277</v>
      </c>
      <c r="B97" s="1" t="s">
        <v>278</v>
      </c>
      <c r="C97" s="1" t="s">
        <v>9</v>
      </c>
      <c r="D97" s="1">
        <v>14.618749</v>
      </c>
      <c r="E97" s="1">
        <v>121.1666617</v>
      </c>
      <c r="F97" s="1" t="s">
        <v>279</v>
      </c>
      <c r="G97" s="3" t="str">
        <f>IFERROR(__xludf.DUMMYFUNCTION("IF(REGEXMATCH(F97, ""(?:.*,\s*)?([^,]+),\s*([^,]+),\s*Philippines.*""), TRIM(REGEXREPLACE(REGEXREPLACE(F97, ""(?:.*,\s*)?([^,]+),\s*([^,]+),\s*Philippines.*"", ""$1, $2""), ""\d+"", """")), """")"),"Antipolo, Rizal")</f>
        <v>Antipolo, Rizal</v>
      </c>
    </row>
    <row r="98">
      <c r="A98" s="1" t="s">
        <v>280</v>
      </c>
      <c r="B98" s="1" t="s">
        <v>281</v>
      </c>
      <c r="C98" s="1" t="s">
        <v>25</v>
      </c>
      <c r="D98" s="1">
        <v>14.5833899</v>
      </c>
      <c r="E98" s="1">
        <v>121.1740236</v>
      </c>
      <c r="F98" s="1" t="s">
        <v>282</v>
      </c>
      <c r="G98" s="3" t="str">
        <f>IFERROR(__xludf.DUMMYFUNCTION("IF(REGEXMATCH(F98, ""(?:.*,\s*)?([^,]+),\s*([^,]+),\s*Philippines.*""), TRIM(REGEXREPLACE(REGEXREPLACE(F98, ""(?:.*,\s*)?([^,]+),\s*([^,]+),\s*Philippines.*"", ""$1, $2""), ""\d+"", """")), """")"),"Antipolo, Rizal")</f>
        <v>Antipolo, Rizal</v>
      </c>
    </row>
    <row r="99">
      <c r="A99" s="1" t="s">
        <v>283</v>
      </c>
      <c r="B99" s="1" t="s">
        <v>284</v>
      </c>
      <c r="C99" s="1" t="s">
        <v>25</v>
      </c>
      <c r="D99" s="1">
        <v>14.5796701</v>
      </c>
      <c r="E99" s="1">
        <v>121.1852755</v>
      </c>
      <c r="F99" s="1" t="s">
        <v>285</v>
      </c>
      <c r="G99" s="3" t="str">
        <f>IFERROR(__xludf.DUMMYFUNCTION("IF(REGEXMATCH(F99, ""(?:.*,\s*)?([^,]+),\s*([^,]+),\s*Philippines.*""), TRIM(REGEXREPLACE(REGEXREPLACE(F99, ""(?:.*,\s*)?([^,]+),\s*([^,]+),\s*Philippines.*"", ""$1, $2""), ""\d+"", """")), """")"),"Antipolo, Rizal")</f>
        <v>Antipolo, Rizal</v>
      </c>
    </row>
    <row r="100">
      <c r="A100" s="1" t="s">
        <v>286</v>
      </c>
      <c r="B100" s="1" t="s">
        <v>287</v>
      </c>
      <c r="C100" s="1" t="s">
        <v>13</v>
      </c>
      <c r="D100" s="1">
        <v>14.5380269</v>
      </c>
      <c r="E100" s="1">
        <v>121.1122133</v>
      </c>
      <c r="F100" s="1" t="s">
        <v>288</v>
      </c>
      <c r="G100" s="3" t="str">
        <f>IFERROR(__xludf.DUMMYFUNCTION("IF(REGEXMATCH(F100, ""(?:.*,\s*)?([^,]+),\s*([^,]+),\s*Philippines.*""), TRIM(REGEXREPLACE(REGEXREPLACE(F100, ""(?:.*,\s*)?([^,]+),\s*([^,]+),\s*Philippines.*"", ""$1, $2""), ""\d+"", """")), """")"),"Taytay, Rizal")</f>
        <v>Taytay, Rizal</v>
      </c>
    </row>
    <row r="101">
      <c r="A101" s="1" t="s">
        <v>289</v>
      </c>
      <c r="B101" s="1" t="s">
        <v>290</v>
      </c>
      <c r="C101" s="1" t="s">
        <v>13</v>
      </c>
      <c r="D101" s="1">
        <v>14.1143684</v>
      </c>
      <c r="E101" s="1">
        <v>120.8958259</v>
      </c>
      <c r="F101" s="1" t="s">
        <v>291</v>
      </c>
      <c r="G101" s="3" t="str">
        <f>IFERROR(__xludf.DUMMYFUNCTION("IF(REGEXMATCH(F101, ""(?:.*,\s*)?([^,]+),\s*([^,]+),\s*Philippines.*""), TRIM(REGEXREPLACE(REGEXREPLACE(F101, ""(?:.*,\s*)?([^,]+),\s*([^,]+),\s*Philippines.*"", ""$1, $2""), ""\d+"", """")), """")"),"Mendez, Cavite")</f>
        <v>Mendez, Cavite</v>
      </c>
    </row>
    <row r="102">
      <c r="A102" s="1" t="s">
        <v>292</v>
      </c>
      <c r="B102" s="1" t="s">
        <v>293</v>
      </c>
      <c r="C102" s="1" t="s">
        <v>13</v>
      </c>
      <c r="D102" s="1">
        <v>14.041969</v>
      </c>
      <c r="E102" s="1">
        <v>122.3165415</v>
      </c>
      <c r="F102" s="1" t="s">
        <v>294</v>
      </c>
      <c r="G102" s="3" t="str">
        <f>IFERROR(__xludf.DUMMYFUNCTION("IF(REGEXMATCH(F102, ""(?:.*,\s*)?([^,]+),\s*([^,]+),\s*Philippines.*""), TRIM(REGEXREPLACE(REGEXREPLACE(F102, ""(?:.*,\s*)?([^,]+),\s*([^,]+),\s*Philippines.*"", ""$1, $2""), ""\d+"", """")), """")"),"Calauag, Quezon")</f>
        <v>Calauag, Quezon</v>
      </c>
    </row>
    <row r="103">
      <c r="A103" s="1" t="s">
        <v>295</v>
      </c>
      <c r="B103" s="1" t="s">
        <v>296</v>
      </c>
      <c r="C103" s="1" t="s">
        <v>13</v>
      </c>
      <c r="D103" s="1">
        <v>14.066619</v>
      </c>
      <c r="E103" s="1">
        <v>121.324786</v>
      </c>
      <c r="F103" s="1" t="s">
        <v>297</v>
      </c>
      <c r="G103" s="3" t="str">
        <f>IFERROR(__xludf.DUMMYFUNCTION("IF(REGEXMATCH(F103, ""(?:.*,\s*)?([^,]+),\s*([^,]+),\s*Philippines.*""), TRIM(REGEXREPLACE(REGEXREPLACE(F103, ""(?:.*,\s*)?([^,]+),\s*([^,]+),\s*Philippines.*"", ""$1, $2""), ""\d+"", """")), """")"),"San Pablo City, Laguna")</f>
        <v>San Pablo City, Laguna</v>
      </c>
    </row>
    <row r="104">
      <c r="A104" s="1" t="s">
        <v>298</v>
      </c>
      <c r="B104" s="1" t="s">
        <v>299</v>
      </c>
      <c r="C104" s="1" t="s">
        <v>13</v>
      </c>
      <c r="D104" s="1">
        <v>14.4219984</v>
      </c>
      <c r="E104" s="1">
        <v>120.9750134</v>
      </c>
      <c r="F104" s="1" t="s">
        <v>300</v>
      </c>
      <c r="G104" s="3" t="str">
        <f>IFERROR(__xludf.DUMMYFUNCTION("IF(REGEXMATCH(F104, ""(?:.*,\s*)?([^,]+),\s*([^,]+),\s*Philippines.*""), TRIM(REGEXREPLACE(REGEXREPLACE(F104, ""(?:.*,\s*)?([^,]+),\s*([^,]+),\s*Philippines.*"", ""$1, $2""), ""\d+"", """")), """")"),"Bacoor, Cavite")</f>
        <v>Bacoor, Cavite</v>
      </c>
    </row>
    <row r="105">
      <c r="A105" s="1" t="s">
        <v>301</v>
      </c>
      <c r="B105" s="1" t="s">
        <v>302</v>
      </c>
      <c r="C105" s="1" t="s">
        <v>13</v>
      </c>
      <c r="D105" s="1">
        <v>14.5880131</v>
      </c>
      <c r="E105" s="1">
        <v>121.1083258</v>
      </c>
      <c r="F105" s="1" t="s">
        <v>303</v>
      </c>
      <c r="G105" s="3" t="str">
        <f>IFERROR(__xludf.DUMMYFUNCTION("IF(REGEXMATCH(F105, ""(?:.*,\s*)?([^,]+),\s*([^,]+),\s*Philippines.*""), TRIM(REGEXREPLACE(REGEXREPLACE(F105, ""(?:.*,\s*)?([^,]+),\s*([^,]+),\s*Philippines.*"", ""$1, $2""), ""\d+"", """")), """")"),"Cainta, Rizal")</f>
        <v>Cainta, Rizal</v>
      </c>
    </row>
    <row r="106">
      <c r="A106" s="1" t="s">
        <v>304</v>
      </c>
      <c r="B106" s="1" t="s">
        <v>305</v>
      </c>
      <c r="C106" s="1" t="s">
        <v>13</v>
      </c>
      <c r="D106" s="1">
        <v>14.3180193</v>
      </c>
      <c r="E106" s="1">
        <v>121.1220108</v>
      </c>
      <c r="F106" s="1" t="s">
        <v>306</v>
      </c>
      <c r="G106" s="3" t="str">
        <f>IFERROR(__xludf.DUMMYFUNCTION("IF(REGEXMATCH(F106, ""(?:.*,\s*)?([^,]+),\s*([^,]+),\s*Philippines.*""), TRIM(REGEXREPLACE(REGEXREPLACE(F106, ""(?:.*,\s*)?([^,]+),\s*([^,]+),\s*Philippines.*"", ""$1, $2""), ""\d+"", """")), """")"),"STA. Rosa City, Laguna")</f>
        <v>STA. Rosa City, Laguna</v>
      </c>
    </row>
    <row r="107">
      <c r="A107" s="1" t="s">
        <v>307</v>
      </c>
      <c r="B107" s="1" t="s">
        <v>308</v>
      </c>
      <c r="C107" s="1" t="s">
        <v>9</v>
      </c>
      <c r="D107" s="1">
        <v>13.9336193</v>
      </c>
      <c r="E107" s="1">
        <v>121.6124721</v>
      </c>
      <c r="F107" s="1" t="s">
        <v>309</v>
      </c>
      <c r="G107" s="3" t="str">
        <f>IFERROR(__xludf.DUMMYFUNCTION("IF(REGEXMATCH(F107, ""(?:.*,\s*)?([^,]+),\s*([^,]+),\s*Philippines.*""), TRIM(REGEXREPLACE(REGEXREPLACE(F107, ""(?:.*,\s*)?([^,]+),\s*([^,]+),\s*Philippines.*"", ""$1, $2""), ""\d+"", """")), """")"),"Lucena City, Quezon")</f>
        <v>Lucena City, Quezon</v>
      </c>
    </row>
    <row r="108">
      <c r="A108" s="1" t="s">
        <v>310</v>
      </c>
      <c r="B108" s="1" t="s">
        <v>311</v>
      </c>
      <c r="C108" s="1" t="s">
        <v>9</v>
      </c>
      <c r="D108" s="1">
        <v>14.5872119</v>
      </c>
      <c r="E108" s="1">
        <v>121.1735246</v>
      </c>
      <c r="F108" s="1" t="s">
        <v>312</v>
      </c>
      <c r="G108" s="3" t="str">
        <f>IFERROR(__xludf.DUMMYFUNCTION("IF(REGEXMATCH(F108, ""(?:.*,\s*)?([^,]+),\s*([^,]+),\s*Philippines.*""), TRIM(REGEXREPLACE(REGEXREPLACE(F108, ""(?:.*,\s*)?([^,]+),\s*([^,]+),\s*Philippines.*"", ""$1, $2""), ""\d+"", """")), """")"),"Antipolo, Rizal")</f>
        <v>Antipolo, Rizal</v>
      </c>
    </row>
    <row r="109">
      <c r="A109" s="1" t="s">
        <v>313</v>
      </c>
      <c r="B109" s="1" t="s">
        <v>314</v>
      </c>
      <c r="C109" s="1" t="s">
        <v>25</v>
      </c>
      <c r="D109" s="1">
        <v>14.2884054</v>
      </c>
      <c r="E109" s="1">
        <v>121.1089016</v>
      </c>
      <c r="F109" s="1" t="s">
        <v>315</v>
      </c>
      <c r="G109" s="3" t="str">
        <f>IFERROR(__xludf.DUMMYFUNCTION("IF(REGEXMATCH(F109, ""(?:.*,\s*)?([^,]+),\s*([^,]+),\s*Philippines.*""), TRIM(REGEXREPLACE(REGEXREPLACE(F109, ""(?:.*,\s*)?([^,]+),\s*([^,]+),\s*Philippines.*"", ""$1, $2""), ""\d+"", """")), """")"),"City of Santa Rosa, Laguna")</f>
        <v>City of Santa Rosa, Laguna</v>
      </c>
    </row>
    <row r="110">
      <c r="A110" s="1" t="s">
        <v>316</v>
      </c>
      <c r="B110" s="1" t="s">
        <v>317</v>
      </c>
      <c r="C110" s="1" t="s">
        <v>9</v>
      </c>
      <c r="D110" s="1">
        <v>14.2884054</v>
      </c>
      <c r="E110" s="1">
        <v>121.1089016</v>
      </c>
      <c r="F110" s="1" t="s">
        <v>315</v>
      </c>
      <c r="G110" s="3" t="str">
        <f>IFERROR(__xludf.DUMMYFUNCTION("IF(REGEXMATCH(F110, ""(?:.*,\s*)?([^,]+),\s*([^,]+),\s*Philippines.*""), TRIM(REGEXREPLACE(REGEXREPLACE(F110, ""(?:.*,\s*)?([^,]+),\s*([^,]+),\s*Philippines.*"", ""$1, $2""), ""\d+"", """")), """")"),"City of Santa Rosa, Laguna")</f>
        <v>City of Santa Rosa, Laguna</v>
      </c>
    </row>
    <row r="111">
      <c r="A111" s="1" t="s">
        <v>318</v>
      </c>
      <c r="B111" s="1" t="s">
        <v>319</v>
      </c>
      <c r="C111" s="1" t="s">
        <v>9</v>
      </c>
      <c r="D111" s="1">
        <v>14.461074</v>
      </c>
      <c r="E111" s="1">
        <v>120.961423</v>
      </c>
      <c r="F111" s="1" t="s">
        <v>320</v>
      </c>
      <c r="G111" s="3" t="str">
        <f>IFERROR(__xludf.DUMMYFUNCTION("IF(REGEXMATCH(F111, ""(?:.*,\s*)?([^,]+),\s*([^,]+),\s*Philippines.*""), TRIM(REGEXREPLACE(REGEXREPLACE(F111, ""(?:.*,\s*)?([^,]+),\s*([^,]+),\s*Philippines.*"", ""$1, $2""), ""\d+"", """")), """")"),"Bacoor, Cavite")</f>
        <v>Bacoor, Cavite</v>
      </c>
    </row>
    <row r="112">
      <c r="A112" s="1" t="s">
        <v>321</v>
      </c>
      <c r="B112" s="1" t="s">
        <v>322</v>
      </c>
      <c r="C112" s="1" t="s">
        <v>9</v>
      </c>
      <c r="D112" s="1">
        <v>12.879721</v>
      </c>
      <c r="E112" s="1">
        <v>121.774017</v>
      </c>
      <c r="F112" s="1" t="s">
        <v>47</v>
      </c>
      <c r="G112" s="3" t="str">
        <f>IFERROR(__xludf.DUMMYFUNCTION("IF(REGEXMATCH(F112, ""(?:.*,\s*)?([^,]+),\s*([^,]+),\s*Philippines.*""), TRIM(REGEXREPLACE(REGEXREPLACE(F112, ""(?:.*,\s*)?([^,]+),\s*([^,]+),\s*Philippines.*"", ""$1, $2""), ""\d+"", """")), """")"),"")</f>
        <v/>
      </c>
    </row>
    <row r="113">
      <c r="A113" s="1" t="s">
        <v>323</v>
      </c>
      <c r="B113" s="1" t="s">
        <v>324</v>
      </c>
      <c r="C113" s="1" t="s">
        <v>25</v>
      </c>
      <c r="D113" s="1">
        <v>14.2096528</v>
      </c>
      <c r="E113" s="1">
        <v>121.1295278</v>
      </c>
      <c r="F113" s="1" t="s">
        <v>325</v>
      </c>
      <c r="G113" s="3" t="str">
        <f>IFERROR(__xludf.DUMMYFUNCTION("IF(REGEXMATCH(F113, ""(?:.*,\s*)?([^,]+),\s*([^,]+),\s*Philippines.*""), TRIM(REGEXREPLACE(REGEXREPLACE(F113, ""(?:.*,\s*)?([^,]+),\s*([^,]+),\s*Philippines.*"", ""$1, $2""), ""\d+"", """")), """")"),"Calamba, Laguna")</f>
        <v>Calamba, Laguna</v>
      </c>
    </row>
    <row r="114">
      <c r="A114" s="1" t="s">
        <v>326</v>
      </c>
      <c r="B114" s="1" t="s">
        <v>327</v>
      </c>
      <c r="C114" s="1" t="s">
        <v>9</v>
      </c>
      <c r="D114" s="1">
        <v>14.2831695</v>
      </c>
      <c r="E114" s="1">
        <v>120.9998425</v>
      </c>
      <c r="F114" s="1" t="s">
        <v>328</v>
      </c>
      <c r="G114" s="3" t="str">
        <f>IFERROR(__xludf.DUMMYFUNCTION("IF(REGEXMATCH(F114, ""(?:.*,\s*)?([^,]+),\s*([^,]+),\s*Philippines.*""), TRIM(REGEXREPLACE(REGEXREPLACE(F114, ""(?:.*,\s*)?([^,]+),\s*([^,]+),\s*Philippines.*"", ""$1, $2""), ""\d+"", """")), """")"),"General Mariano Alvarez, Cavite")</f>
        <v>General Mariano Alvarez, Cavite</v>
      </c>
    </row>
    <row r="115">
      <c r="A115" s="1" t="s">
        <v>329</v>
      </c>
      <c r="B115" s="1" t="s">
        <v>330</v>
      </c>
      <c r="C115" s="1" t="s">
        <v>9</v>
      </c>
      <c r="D115" s="1">
        <v>14.4472292</v>
      </c>
      <c r="E115" s="1">
        <v>120.953146</v>
      </c>
      <c r="F115" s="1" t="s">
        <v>331</v>
      </c>
      <c r="G115" s="3" t="str">
        <f>IFERROR(__xludf.DUMMYFUNCTION("IF(REGEXMATCH(F115, ""(?:.*,\s*)?([^,]+),\s*([^,]+),\s*Philippines.*""), TRIM(REGEXREPLACE(REGEXREPLACE(F115, ""(?:.*,\s*)?([^,]+),\s*([^,]+),\s*Philippines.*"", ""$1, $2""), ""\d+"", """")), """")"),"Bacoor, Cavite")</f>
        <v>Bacoor, Cavite</v>
      </c>
    </row>
    <row r="116">
      <c r="A116" s="1" t="s">
        <v>332</v>
      </c>
      <c r="B116" s="1" t="s">
        <v>333</v>
      </c>
      <c r="C116" s="1" t="s">
        <v>9</v>
      </c>
      <c r="D116" s="1">
        <v>13.7611344</v>
      </c>
      <c r="E116" s="1">
        <v>121.0574829</v>
      </c>
      <c r="F116" s="1" t="s">
        <v>334</v>
      </c>
      <c r="G116" s="3" t="str">
        <f>IFERROR(__xludf.DUMMYFUNCTION("IF(REGEXMATCH(F116, ""(?:.*,\s*)?([^,]+),\s*([^,]+),\s*Philippines.*""), TRIM(REGEXREPLACE(REGEXREPLACE(F116, ""(?:.*,\s*)?([^,]+),\s*([^,]+),\s*Philippines.*"", ""$1, $2""), ""\d+"", """")), """")"),"Batangas City, Batangas")</f>
        <v>Batangas City, Batangas</v>
      </c>
    </row>
    <row r="117">
      <c r="A117" s="1" t="s">
        <v>335</v>
      </c>
      <c r="B117" s="1" t="s">
        <v>336</v>
      </c>
      <c r="C117" s="1" t="s">
        <v>9</v>
      </c>
      <c r="D117" s="1">
        <v>14.2043047</v>
      </c>
      <c r="E117" s="1">
        <v>121.1567188</v>
      </c>
      <c r="F117" s="1" t="s">
        <v>337</v>
      </c>
      <c r="G117" s="3" t="str">
        <f>IFERROR(__xludf.DUMMYFUNCTION("IF(REGEXMATCH(F117, ""(?:.*,\s*)?([^,]+),\s*([^,]+),\s*Philippines.*""), TRIM(REGEXREPLACE(REGEXREPLACE(F117, ""(?:.*,\s*)?([^,]+),\s*([^,]+),\s*Philippines.*"", ""$1, $2""), ""\d+"", """")), """")"),"Calamba, Laguna")</f>
        <v>Calamba, Laguna</v>
      </c>
    </row>
    <row r="118">
      <c r="A118" s="1" t="s">
        <v>338</v>
      </c>
      <c r="B118" s="1" t="s">
        <v>339</v>
      </c>
      <c r="C118" s="1" t="s">
        <v>9</v>
      </c>
      <c r="D118" s="1">
        <v>14.4472292</v>
      </c>
      <c r="E118" s="1">
        <v>120.953146</v>
      </c>
      <c r="F118" s="1" t="s">
        <v>331</v>
      </c>
      <c r="G118" s="3" t="str">
        <f>IFERROR(__xludf.DUMMYFUNCTION("IF(REGEXMATCH(F118, ""(?:.*,\s*)?([^,]+),\s*([^,]+),\s*Philippines.*""), TRIM(REGEXREPLACE(REGEXREPLACE(F118, ""(?:.*,\s*)?([^,]+),\s*([^,]+),\s*Philippines.*"", ""$1, $2""), ""\d+"", """")), """")"),"Bacoor, Cavite")</f>
        <v>Bacoor, Cavite</v>
      </c>
    </row>
    <row r="119">
      <c r="A119" s="1" t="s">
        <v>340</v>
      </c>
      <c r="B119" s="1" t="s">
        <v>341</v>
      </c>
      <c r="C119" s="1" t="s">
        <v>9</v>
      </c>
      <c r="D119" s="1">
        <v>14.2914868</v>
      </c>
      <c r="E119" s="1">
        <v>120.958642</v>
      </c>
      <c r="F119" s="1" t="s">
        <v>342</v>
      </c>
      <c r="G119" s="3" t="str">
        <f>IFERROR(__xludf.DUMMYFUNCTION("IF(REGEXMATCH(F119, ""(?:.*,\s*)?([^,]+),\s*([^,]+),\s*Philippines.*""), TRIM(REGEXREPLACE(REGEXREPLACE(F119, ""(?:.*,\s*)?([^,]+),\s*([^,]+),\s*Philippines.*"", ""$1, $2""), ""\d+"", """")), """")"),"Emilio Aguinaldo Hwy, Cavite")</f>
        <v>Emilio Aguinaldo Hwy, Cavite</v>
      </c>
    </row>
    <row r="120">
      <c r="A120" s="1" t="s">
        <v>343</v>
      </c>
      <c r="B120" s="1" t="s">
        <v>344</v>
      </c>
      <c r="C120" s="1" t="s">
        <v>9</v>
      </c>
      <c r="D120" s="1">
        <v>13.9526487</v>
      </c>
      <c r="E120" s="1">
        <v>121.1654878</v>
      </c>
      <c r="F120" s="1" t="s">
        <v>345</v>
      </c>
      <c r="G120" s="3" t="str">
        <f>IFERROR(__xludf.DUMMYFUNCTION("IF(REGEXMATCH(F120, ""(?:.*,\s*)?([^,]+),\s*([^,]+),\s*Philippines.*""), TRIM(REGEXREPLACE(REGEXREPLACE(F120, ""(?:.*,\s*)?([^,]+),\s*([^,]+),\s*Philippines.*"", ""$1, $2""), ""\d+"", """")), """")"),"Lipa City, Batangas")</f>
        <v>Lipa City, Batangas</v>
      </c>
    </row>
    <row r="121">
      <c r="A121" s="1" t="s">
        <v>346</v>
      </c>
      <c r="B121" s="1" t="s">
        <v>347</v>
      </c>
      <c r="C121" s="1" t="s">
        <v>9</v>
      </c>
      <c r="D121" s="1">
        <v>14.7294834</v>
      </c>
      <c r="E121" s="1">
        <v>121.1393231</v>
      </c>
      <c r="F121" s="1" t="s">
        <v>348</v>
      </c>
      <c r="G121" s="3" t="str">
        <f>IFERROR(__xludf.DUMMYFUNCTION("IF(REGEXMATCH(F121, ""(?:.*,\s*)?([^,]+),\s*([^,]+),\s*Philippines.*""), TRIM(REGEXREPLACE(REGEXREPLACE(F121, ""(?:.*,\s*)?([^,]+),\s*([^,]+),\s*Philippines.*"", ""$1, $2""), ""\d+"", """")), """")"),"Rodriguez, Rizal")</f>
        <v>Rodriguez, Rizal</v>
      </c>
    </row>
    <row r="122">
      <c r="A122" s="1" t="s">
        <v>349</v>
      </c>
      <c r="B122" s="1" t="s">
        <v>350</v>
      </c>
      <c r="C122" s="1" t="s">
        <v>9</v>
      </c>
      <c r="D122" s="1">
        <v>14.3461126</v>
      </c>
      <c r="E122" s="1">
        <v>121.062727</v>
      </c>
      <c r="F122" s="1" t="s">
        <v>351</v>
      </c>
      <c r="G122" s="3" t="str">
        <f>IFERROR(__xludf.DUMMYFUNCTION("IF(REGEXMATCH(F122, ""(?:.*,\s*)?([^,]+),\s*([^,]+),\s*Philippines.*""), TRIM(REGEXREPLACE(REGEXREPLACE(F122, ""(?:.*,\s*)?([^,]+),\s*([^,]+),\s*Philippines.*"", ""$1, $2""), ""\d+"", """")), """")"),"San Pedro, Laguna")</f>
        <v>San Pedro, Laguna</v>
      </c>
    </row>
    <row r="123">
      <c r="A123" s="1" t="s">
        <v>352</v>
      </c>
      <c r="B123" s="1" t="s">
        <v>353</v>
      </c>
      <c r="C123" s="1" t="s">
        <v>9</v>
      </c>
      <c r="D123" s="1">
        <v>14.2930276</v>
      </c>
      <c r="E123" s="1">
        <v>121.1071872</v>
      </c>
      <c r="F123" s="1" t="s">
        <v>354</v>
      </c>
      <c r="G123" s="3" t="str">
        <f>IFERROR(__xludf.DUMMYFUNCTION("IF(REGEXMATCH(F123, ""(?:.*,\s*)?([^,]+),\s*([^,]+),\s*Philippines.*""), TRIM(REGEXREPLACE(REGEXREPLACE(F123, ""(?:.*,\s*)?([^,]+),\s*([^,]+),\s*Philippines.*"", ""$1, $2""), ""\d+"", """")), """")"),"City of Santa Rosa, Laguna")</f>
        <v>City of Santa Rosa, Laguna</v>
      </c>
    </row>
    <row r="124">
      <c r="A124" s="1" t="s">
        <v>355</v>
      </c>
      <c r="B124" s="1" t="s">
        <v>356</v>
      </c>
      <c r="C124" s="1" t="s">
        <v>9</v>
      </c>
      <c r="D124" s="1">
        <v>14.4941007</v>
      </c>
      <c r="E124" s="1">
        <v>121.291342</v>
      </c>
      <c r="F124" s="1" t="s">
        <v>357</v>
      </c>
      <c r="G124" s="3" t="str">
        <f>IFERROR(__xludf.DUMMYFUNCTION("IF(REGEXMATCH(F124, ""(?:.*,\s*)?([^,]+),\s*([^,]+),\s*Philippines.*""), TRIM(REGEXREPLACE(REGEXREPLACE(F124, ""(?:.*,\s*)?([^,]+),\s*([^,]+),\s*Philippines.*"", ""$1, $2""), ""\d+"", """")), """")"),"Tanay, Rizal")</f>
        <v>Tanay, Rizal</v>
      </c>
    </row>
    <row r="125">
      <c r="A125" s="1" t="s">
        <v>358</v>
      </c>
      <c r="B125" s="1" t="s">
        <v>359</v>
      </c>
      <c r="C125" s="1" t="s">
        <v>9</v>
      </c>
      <c r="D125" s="1">
        <v>14.5592936</v>
      </c>
      <c r="E125" s="1">
        <v>121.1355818</v>
      </c>
      <c r="F125" s="1" t="s">
        <v>360</v>
      </c>
      <c r="G125" s="3" t="str">
        <f>IFERROR(__xludf.DUMMYFUNCTION("IF(REGEXMATCH(F125, ""(?:.*,\s*)?([^,]+),\s*([^,]+),\s*Philippines.*""), TRIM(REGEXREPLACE(REGEXREPLACE(F125, ""(?:.*,\s*)?([^,]+),\s*([^,]+),\s*Philippines.*"", ""$1, $2""), ""\d+"", """")), """")"),"Taytay, Rizal")</f>
        <v>Taytay, Rizal</v>
      </c>
    </row>
    <row r="126">
      <c r="A126" s="1" t="s">
        <v>361</v>
      </c>
      <c r="B126" s="1" t="s">
        <v>362</v>
      </c>
      <c r="C126" s="1" t="s">
        <v>9</v>
      </c>
      <c r="D126" s="1">
        <v>13.9588907</v>
      </c>
      <c r="E126" s="1">
        <v>121.3240023</v>
      </c>
      <c r="F126" s="1" t="s">
        <v>363</v>
      </c>
      <c r="G126" s="3" t="str">
        <f>IFERROR(__xludf.DUMMYFUNCTION("IF(REGEXMATCH(F126, ""(?:.*,\s*)?([^,]+),\s*([^,]+),\s*Philippines.*""), TRIM(REGEXREPLACE(REGEXREPLACE(F126, ""(?:.*,\s*)?([^,]+),\s*([^,]+),\s*Philippines.*"", ""$1, $2""), ""\d+"", """")), """")"),"Tiaong, Quezon")</f>
        <v>Tiaong, Quezon</v>
      </c>
    </row>
    <row r="127">
      <c r="A127" s="1" t="s">
        <v>364</v>
      </c>
      <c r="B127" s="1" t="s">
        <v>365</v>
      </c>
      <c r="C127" s="1" t="s">
        <v>9</v>
      </c>
      <c r="D127" s="1">
        <v>14.2736716</v>
      </c>
      <c r="E127" s="1">
        <v>121.1201143</v>
      </c>
      <c r="F127" s="1" t="s">
        <v>366</v>
      </c>
      <c r="G127" s="3" t="str">
        <f>IFERROR(__xludf.DUMMYFUNCTION("IF(REGEXMATCH(F127, ""(?:.*,\s*)?([^,]+),\s*([^,]+),\s*Philippines.*""), TRIM(REGEXREPLACE(REGEXREPLACE(F127, ""(?:.*,\s*)?([^,]+),\s*([^,]+),\s*Philippines.*"", ""$1, $2""), ""\d+"", """")), """")"),"Cabuyao City, Laguna")</f>
        <v>Cabuyao City, Laguna</v>
      </c>
    </row>
    <row r="128">
      <c r="A128" s="1" t="s">
        <v>367</v>
      </c>
      <c r="B128" s="1" t="s">
        <v>368</v>
      </c>
      <c r="C128" s="1" t="s">
        <v>9</v>
      </c>
      <c r="D128" s="1">
        <v>14.0825117</v>
      </c>
      <c r="E128" s="1">
        <v>121.1488444</v>
      </c>
      <c r="F128" s="1" t="s">
        <v>369</v>
      </c>
      <c r="G128" s="3" t="str">
        <f>IFERROR(__xludf.DUMMYFUNCTION("IF(REGEXMATCH(F128, ""(?:.*,\s*)?([^,]+),\s*([^,]+),\s*Philippines.*""), TRIM(REGEXREPLACE(REGEXREPLACE(F128, ""(?:.*,\s*)?([^,]+),\s*([^,]+),\s*Philippines.*"", ""$1, $2""), ""\d+"", """")), """")"),"Tanauan City, Batangas")</f>
        <v>Tanauan City, Batangas</v>
      </c>
    </row>
    <row r="129">
      <c r="A129" s="1" t="s">
        <v>370</v>
      </c>
      <c r="B129" s="1" t="s">
        <v>371</v>
      </c>
      <c r="C129" s="1" t="s">
        <v>9</v>
      </c>
      <c r="D129" s="1">
        <v>14.280153</v>
      </c>
      <c r="E129" s="1">
        <v>121.123634</v>
      </c>
      <c r="F129" s="1" t="s">
        <v>372</v>
      </c>
      <c r="G129" s="3" t="str">
        <f>IFERROR(__xludf.DUMMYFUNCTION("IF(REGEXMATCH(F129, ""(?:.*,\s*)?([^,]+),\s*([^,]+),\s*Philippines.*""), TRIM(REGEXREPLACE(REGEXREPLACE(F129, ""(?:.*,\s*)?([^,]+),\s*([^,]+),\s*Philippines.*"", ""$1, $2""), ""\d+"", """")), """")"),"Cabuyao City, Laguna")</f>
        <v>Cabuyao City, Laguna</v>
      </c>
    </row>
    <row r="130">
      <c r="A130" s="1" t="s">
        <v>373</v>
      </c>
      <c r="B130" s="1" t="s">
        <v>374</v>
      </c>
      <c r="C130" s="1" t="s">
        <v>9</v>
      </c>
      <c r="D130" s="1">
        <v>14.3396133</v>
      </c>
      <c r="E130" s="1">
        <v>121.0725184</v>
      </c>
      <c r="F130" s="1" t="s">
        <v>375</v>
      </c>
      <c r="G130" s="3" t="str">
        <f>IFERROR(__xludf.DUMMYFUNCTION("IF(REGEXMATCH(F130, ""(?:.*,\s*)?([^,]+),\s*([^,]+),\s*Philippines.*""), TRIM(REGEXREPLACE(REGEXREPLACE(F130, ""(?:.*,\s*)?([^,]+),\s*([^,]+),\s*Philippines.*"", ""$1, $2""), ""\d+"", """")), """")"),"Biñan, Laguna")</f>
        <v>Biñan, Laguna</v>
      </c>
    </row>
    <row r="131">
      <c r="A131" s="1" t="s">
        <v>376</v>
      </c>
      <c r="B131" s="1" t="s">
        <v>377</v>
      </c>
      <c r="C131" s="1" t="s">
        <v>9</v>
      </c>
      <c r="D131" s="1">
        <v>14.3396133</v>
      </c>
      <c r="E131" s="1">
        <v>121.0725184</v>
      </c>
      <c r="F131" s="1" t="s">
        <v>375</v>
      </c>
      <c r="G131" s="3" t="str">
        <f>IFERROR(__xludf.DUMMYFUNCTION("IF(REGEXMATCH(F131, ""(?:.*,\s*)?([^,]+),\s*([^,]+),\s*Philippines.*""), TRIM(REGEXREPLACE(REGEXREPLACE(F131, ""(?:.*,\s*)?([^,]+),\s*([^,]+),\s*Philippines.*"", ""$1, $2""), ""\d+"", """")), """")"),"Biñan, Laguna")</f>
        <v>Biñan, Laguna</v>
      </c>
    </row>
    <row r="132">
      <c r="A132" s="1" t="s">
        <v>378</v>
      </c>
      <c r="B132" s="1" t="s">
        <v>379</v>
      </c>
      <c r="C132" s="1" t="s">
        <v>9</v>
      </c>
      <c r="D132" s="1">
        <v>14.3276158</v>
      </c>
      <c r="E132" s="1">
        <v>120.9397432</v>
      </c>
      <c r="F132" s="1" t="s">
        <v>380</v>
      </c>
      <c r="G132" s="3" t="str">
        <f>IFERROR(__xludf.DUMMYFUNCTION("IF(REGEXMATCH(F132, ""(?:.*,\s*)?([^,]+),\s*([^,]+),\s*Philippines.*""), TRIM(REGEXREPLACE(REGEXREPLACE(F132, ""(?:.*,\s*)?([^,]+),\s*([^,]+),\s*Philippines.*"", ""$1, $2""), ""\d+"", """")), """")"),"Dasmariñas, Cavite")</f>
        <v>Dasmariñas, Cavite</v>
      </c>
    </row>
    <row r="133">
      <c r="A133" s="1" t="s">
        <v>381</v>
      </c>
      <c r="B133" s="1" t="s">
        <v>382</v>
      </c>
      <c r="C133" s="1" t="s">
        <v>9</v>
      </c>
      <c r="D133" s="1">
        <v>12.879721</v>
      </c>
      <c r="E133" s="1">
        <v>121.774017</v>
      </c>
      <c r="F133" s="1" t="s">
        <v>47</v>
      </c>
      <c r="G133" s="3" t="str">
        <f>IFERROR(__xludf.DUMMYFUNCTION("IF(REGEXMATCH(F133, ""(?:.*,\s*)?([^,]+),\s*([^,]+),\s*Philippines.*""), TRIM(REGEXREPLACE(REGEXREPLACE(F133, ""(?:.*,\s*)?([^,]+),\s*([^,]+),\s*Philippines.*"", ""$1, $2""), ""\d+"", """")), """")"),"")</f>
        <v/>
      </c>
    </row>
    <row r="134">
      <c r="A134" s="1" t="s">
        <v>383</v>
      </c>
      <c r="B134" s="1" t="s">
        <v>384</v>
      </c>
      <c r="C134" s="1" t="s">
        <v>25</v>
      </c>
      <c r="D134" s="1">
        <v>14.6027399</v>
      </c>
      <c r="E134" s="1">
        <v>121.1801035</v>
      </c>
      <c r="F134" s="1" t="s">
        <v>385</v>
      </c>
      <c r="G134" s="3" t="str">
        <f>IFERROR(__xludf.DUMMYFUNCTION("IF(REGEXMATCH(F134, ""(?:.*,\s*)?([^,]+),\s*([^,]+),\s*Philippines.*""), TRIM(REGEXREPLACE(REGEXREPLACE(F134, ""(?:.*,\s*)?([^,]+),\s*([^,]+),\s*Philippines.*"", ""$1, $2""), ""\d+"", """")), """")"),"Antipolo, Rizal")</f>
        <v>Antipolo, Rizal</v>
      </c>
    </row>
    <row r="135">
      <c r="A135" s="1" t="s">
        <v>386</v>
      </c>
      <c r="B135" s="1" t="s">
        <v>387</v>
      </c>
      <c r="C135" s="1" t="s">
        <v>25</v>
      </c>
      <c r="D135" s="1">
        <v>14.4336906</v>
      </c>
      <c r="E135" s="1">
        <v>120.8759115</v>
      </c>
      <c r="F135" s="1" t="s">
        <v>388</v>
      </c>
      <c r="G135" s="3" t="str">
        <f>IFERROR(__xludf.DUMMYFUNCTION("IF(REGEXMATCH(F135, ""(?:.*,\s*)?([^,]+),\s*([^,]+),\s*Philippines.*""), TRIM(REGEXREPLACE(REGEXREPLACE(F135, ""(?:.*,\s*)?([^,]+),\s*([^,]+),\s*Philippines.*"", ""$1, $2""), ""\d+"", """")), """")"),"Noveleta, Cavite")</f>
        <v>Noveleta, Cavite</v>
      </c>
    </row>
    <row r="136">
      <c r="A136" s="1" t="s">
        <v>389</v>
      </c>
      <c r="B136" s="1" t="s">
        <v>390</v>
      </c>
      <c r="C136" s="1" t="s">
        <v>13</v>
      </c>
      <c r="D136" s="1">
        <v>14.0019884</v>
      </c>
      <c r="E136" s="1">
        <v>121.920777</v>
      </c>
      <c r="F136" s="1" t="s">
        <v>391</v>
      </c>
      <c r="G136" s="3" t="str">
        <f>IFERROR(__xludf.DUMMYFUNCTION("IF(REGEXMATCH(F136, ""(?:.*,\s*)?([^,]+),\s*([^,]+),\s*Philippines.*""), TRIM(REGEXREPLACE(REGEXREPLACE(F136, ""(?:.*,\s*)?([^,]+),\s*([^,]+),\s*Philippines.*"", ""$1, $2""), ""\d+"", """")), """")"),"Atimonan, Quezon")</f>
        <v>Atimonan, Quezon</v>
      </c>
    </row>
    <row r="137">
      <c r="A137" s="1" t="s">
        <v>392</v>
      </c>
      <c r="B137" s="1" t="s">
        <v>393</v>
      </c>
      <c r="C137" s="1" t="s">
        <v>13</v>
      </c>
      <c r="D137" s="1">
        <v>13.946321</v>
      </c>
      <c r="E137" s="1">
        <v>121.429631</v>
      </c>
      <c r="F137" s="1" t="s">
        <v>394</v>
      </c>
      <c r="G137" s="3" t="str">
        <f>IFERROR(__xludf.DUMMYFUNCTION("IF(REGEXMATCH(F137, ""(?:.*,\s*)?([^,]+),\s*([^,]+),\s*Philippines.*""), TRIM(REGEXREPLACE(REGEXREPLACE(F137, ""(?:.*,\s*)?([^,]+),\s*([^,]+),\s*Philippines.*"", ""$1, $2""), ""\d+"", """")), """")"),"Candelaria, Quezon")</f>
        <v>Candelaria, Quezon</v>
      </c>
    </row>
    <row r="138">
      <c r="A138" s="1" t="s">
        <v>395</v>
      </c>
      <c r="B138" s="1" t="s">
        <v>396</v>
      </c>
      <c r="C138" s="1" t="s">
        <v>9</v>
      </c>
      <c r="D138" s="1">
        <v>14.2548275</v>
      </c>
      <c r="E138" s="1">
        <v>121.1283502</v>
      </c>
      <c r="F138" s="1" t="s">
        <v>119</v>
      </c>
      <c r="G138" s="3" t="str">
        <f>IFERROR(__xludf.DUMMYFUNCTION("IF(REGEXMATCH(F138, ""(?:.*,\s*)?([^,]+),\s*([^,]+),\s*Philippines.*""), TRIM(REGEXREPLACE(REGEXREPLACE(F138, ""(?:.*,\s*)?([^,]+),\s*([^,]+),\s*Philippines.*"", ""$1, $2""), ""\d+"", """")), """")"),"Cabuyao City, Laguna")</f>
        <v>Cabuyao City, Laguna</v>
      </c>
    </row>
    <row r="139">
      <c r="A139" s="1" t="s">
        <v>397</v>
      </c>
      <c r="B139" s="1" t="s">
        <v>398</v>
      </c>
      <c r="C139" s="1" t="s">
        <v>13</v>
      </c>
      <c r="D139" s="1">
        <v>14.1678087</v>
      </c>
      <c r="E139" s="1">
        <v>120.9213654</v>
      </c>
      <c r="F139" s="1" t="s">
        <v>399</v>
      </c>
      <c r="G139" s="3" t="str">
        <f>IFERROR(__xludf.DUMMYFUNCTION("IF(REGEXMATCH(F139, ""(?:.*,\s*)?([^,]+),\s*([^,]+),\s*Philippines.*""), TRIM(REGEXREPLACE(REGEXREPLACE(F139, ""(?:.*,\s*)?([^,]+),\s*([^,]+),\s*Philippines.*"", ""$1, $2""), ""\d+"", """")), """")"),"Amadeo, Cavite")</f>
        <v>Amadeo, Cavite</v>
      </c>
    </row>
    <row r="140">
      <c r="A140" s="1" t="s">
        <v>400</v>
      </c>
      <c r="B140" s="1" t="s">
        <v>401</v>
      </c>
      <c r="C140" s="1" t="s">
        <v>13</v>
      </c>
      <c r="D140" s="1">
        <v>14.1518841</v>
      </c>
      <c r="E140" s="1">
        <v>121.2526547</v>
      </c>
      <c r="F140" s="1" t="s">
        <v>402</v>
      </c>
      <c r="G140" s="3" t="str">
        <f>IFERROR(__xludf.DUMMYFUNCTION("IF(REGEXMATCH(F140, ""(?:.*,\s*)?([^,]+),\s*([^,]+),\s*Philippines.*""), TRIM(REGEXREPLACE(REGEXREPLACE(F140, ""(?:.*,\s*)?([^,]+),\s*([^,]+),\s*Philippines.*"", ""$1, $2""), ""\d+"", """")), """")"),"Los Baños, Laguna")</f>
        <v>Los Baños, Laguna</v>
      </c>
    </row>
    <row r="141">
      <c r="A141" s="1" t="s">
        <v>403</v>
      </c>
      <c r="B141" s="1" t="s">
        <v>404</v>
      </c>
      <c r="C141" s="1" t="s">
        <v>13</v>
      </c>
      <c r="D141" s="1">
        <v>12.879721</v>
      </c>
      <c r="E141" s="1">
        <v>121.774017</v>
      </c>
      <c r="F141" s="1" t="s">
        <v>47</v>
      </c>
      <c r="G141" s="3" t="str">
        <f>IFERROR(__xludf.DUMMYFUNCTION("IF(REGEXMATCH(F141, ""(?:.*,\s*)?([^,]+),\s*([^,]+),\s*Philippines.*""), TRIM(REGEXREPLACE(REGEXREPLACE(F141, ""(?:.*,\s*)?([^,]+),\s*([^,]+),\s*Philippines.*"", ""$1, $2""), ""\d+"", """")), """")"),"")</f>
        <v/>
      </c>
    </row>
    <row r="142">
      <c r="A142" s="1" t="s">
        <v>405</v>
      </c>
      <c r="B142" s="1" t="s">
        <v>406</v>
      </c>
      <c r="C142" s="1" t="s">
        <v>13</v>
      </c>
      <c r="D142" s="1">
        <v>14.6279416</v>
      </c>
      <c r="E142" s="1">
        <v>121.162448</v>
      </c>
      <c r="F142" s="1" t="s">
        <v>407</v>
      </c>
      <c r="G142" s="3" t="str">
        <f>IFERROR(__xludf.DUMMYFUNCTION("IF(REGEXMATCH(F142, ""(?:.*,\s*)?([^,]+),\s*([^,]+),\s*Philippines.*""), TRIM(REGEXREPLACE(REGEXREPLACE(F142, ""(?:.*,\s*)?([^,]+),\s*([^,]+),\s*Philippines.*"", ""$1, $2""), ""\d+"", """")), """")"),"Antipolo, Rizal")</f>
        <v>Antipolo, Rizal</v>
      </c>
    </row>
    <row r="143">
      <c r="A143" s="1" t="s">
        <v>408</v>
      </c>
      <c r="B143" s="1" t="s">
        <v>409</v>
      </c>
      <c r="C143" s="1" t="s">
        <v>13</v>
      </c>
      <c r="D143" s="1">
        <v>14.776898</v>
      </c>
      <c r="E143" s="1">
        <v>121.0450627</v>
      </c>
      <c r="F143" s="1" t="s">
        <v>410</v>
      </c>
      <c r="G143" s="3" t="str">
        <f>IFERROR(__xludf.DUMMYFUNCTION("IF(REGEXMATCH(F143, ""(?:.*,\s*)?([^,]+),\s*([^,]+),\s*Philippines.*""), TRIM(REGEXREPLACE(REGEXREPLACE(F143, ""(?:.*,\s*)?([^,]+),\s*([^,]+),\s*Philippines.*"", ""$1, $2""), ""\d+"", """")), """")"),"Caloocan, Metro Manila")</f>
        <v>Caloocan, Metro Manila</v>
      </c>
    </row>
    <row r="144">
      <c r="A144" s="1" t="s">
        <v>411</v>
      </c>
      <c r="B144" s="1" t="s">
        <v>412</v>
      </c>
      <c r="C144" s="1" t="s">
        <v>13</v>
      </c>
      <c r="D144" s="1">
        <v>14.6029473</v>
      </c>
      <c r="E144" s="1">
        <v>120.9908484</v>
      </c>
      <c r="F144" s="1" t="s">
        <v>413</v>
      </c>
      <c r="G144" s="3" t="str">
        <f>IFERROR(__xludf.DUMMYFUNCTION("IF(REGEXMATCH(F144, ""(?:.*,\s*)?([^,]+),\s*([^,]+),\s*Philippines.*""), TRIM(REGEXREPLACE(REGEXREPLACE(F144, ""(?:.*,\s*)?([^,]+),\s*([^,]+),\s*Philippines.*"", ""$1, $2""), ""\d+"", """")), """")"),"Manila, Metro Manila")</f>
        <v>Manila, Metro Manila</v>
      </c>
    </row>
    <row r="145">
      <c r="A145" s="1" t="s">
        <v>414</v>
      </c>
      <c r="B145" s="1" t="s">
        <v>415</v>
      </c>
      <c r="C145" s="1" t="s">
        <v>13</v>
      </c>
      <c r="D145" s="1">
        <v>13.5639271</v>
      </c>
      <c r="E145" s="1">
        <v>122.415579</v>
      </c>
      <c r="F145" s="1" t="s">
        <v>416</v>
      </c>
      <c r="G145" s="3" t="str">
        <f>IFERROR(__xludf.DUMMYFUNCTION("IF(REGEXMATCH(F145, ""(?:.*,\s*)?([^,]+),\s*([^,]+),\s*Philippines.*""), TRIM(REGEXREPLACE(REGEXREPLACE(F145, ""(?:.*,\s*)?([^,]+),\s*([^,]+),\s*Philippines.*"", ""$1, $2""), ""\d+"", """")), """")"),"Mulanay, Quezon")</f>
        <v>Mulanay, Quezon</v>
      </c>
    </row>
    <row r="146">
      <c r="A146" s="1" t="s">
        <v>417</v>
      </c>
      <c r="B146" s="1" t="s">
        <v>418</v>
      </c>
      <c r="C146" s="1" t="s">
        <v>9</v>
      </c>
      <c r="D146" s="1">
        <v>13.9520391</v>
      </c>
      <c r="E146" s="1">
        <v>120.7183888</v>
      </c>
      <c r="F146" s="1" t="s">
        <v>419</v>
      </c>
      <c r="G146" s="3" t="str">
        <f>IFERROR(__xludf.DUMMYFUNCTION("IF(REGEXMATCH(F146, ""(?:.*,\s*)?([^,]+),\s*([^,]+),\s*Philippines.*""), TRIM(REGEXREPLACE(REGEXREPLACE(F146, ""(?:.*,\s*)?([^,]+),\s*([^,]+),\s*Philippines.*"", ""$1, $2""), ""\d+"", """")), """")"),"Balayan, Batangas")</f>
        <v>Balayan, Batangas</v>
      </c>
    </row>
    <row r="147">
      <c r="A147" s="1" t="s">
        <v>420</v>
      </c>
      <c r="B147" s="1" t="s">
        <v>421</v>
      </c>
      <c r="C147" s="1" t="s">
        <v>25</v>
      </c>
      <c r="D147" s="1">
        <v>14.4254837</v>
      </c>
      <c r="E147" s="1">
        <v>122.0354462</v>
      </c>
      <c r="F147" s="1" t="s">
        <v>422</v>
      </c>
      <c r="G147" s="3" t="str">
        <f>IFERROR(__xludf.DUMMYFUNCTION("IF(REGEXMATCH(F147, ""(?:.*,\s*)?([^,]+),\s*([^,]+),\s*Philippines.*""), TRIM(REGEXREPLACE(REGEXREPLACE(F147, ""(?:.*,\s*)?([^,]+),\s*([^,]+),\s*Philippines.*"", ""$1, $2""), ""\d+"", """")), """")"),"Polillo, Quezon")</f>
        <v>Polillo, Quezon</v>
      </c>
    </row>
    <row r="148">
      <c r="A148" s="1" t="s">
        <v>423</v>
      </c>
      <c r="B148" s="1" t="s">
        <v>424</v>
      </c>
      <c r="C148" s="1" t="s">
        <v>13</v>
      </c>
      <c r="D148" s="1">
        <v>14.4254839</v>
      </c>
      <c r="E148" s="1">
        <v>122.0354438</v>
      </c>
      <c r="F148" s="1" t="s">
        <v>425</v>
      </c>
      <c r="G148" s="3" t="str">
        <f>IFERROR(__xludf.DUMMYFUNCTION("IF(REGEXMATCH(F148, ""(?:.*,\s*)?([^,]+),\s*([^,]+),\s*Philippines.*""), TRIM(REGEXREPLACE(REGEXREPLACE(F148, ""(?:.*,\s*)?([^,]+),\s*([^,]+),\s*Philippines.*"", ""$1, $2""), ""\d+"", """")), """")"),"Polillo, Quezon")</f>
        <v>Polillo, Quezon</v>
      </c>
    </row>
    <row r="149">
      <c r="A149" s="1" t="s">
        <v>426</v>
      </c>
      <c r="B149" s="1" t="s">
        <v>427</v>
      </c>
      <c r="C149" s="1" t="s">
        <v>13</v>
      </c>
      <c r="D149" s="1">
        <v>11.5572691</v>
      </c>
      <c r="E149" s="1">
        <v>122.3783334</v>
      </c>
      <c r="F149" s="1" t="s">
        <v>428</v>
      </c>
      <c r="G149" s="3" t="str">
        <f>IFERROR(__xludf.DUMMYFUNCTION("IF(REGEXMATCH(F149, ""(?:.*,\s*)?([^,]+),\s*([^,]+),\s*Philippines.*""), TRIM(REGEXREPLACE(REGEXREPLACE(F149, ""(?:.*,\s*)?([^,]+),\s*([^,]+),\s*Philippines.*"", ""$1, $2""), ""\d+"", """")), """")"),"Balete, Aklan")</f>
        <v>Balete, Aklan</v>
      </c>
    </row>
    <row r="150">
      <c r="A150" s="1" t="s">
        <v>429</v>
      </c>
      <c r="B150" s="1" t="s">
        <v>430</v>
      </c>
      <c r="C150" s="1" t="s">
        <v>13</v>
      </c>
      <c r="D150" s="1">
        <v>14.3945377</v>
      </c>
      <c r="E150" s="1">
        <v>121.4747022</v>
      </c>
      <c r="F150" s="1" t="s">
        <v>431</v>
      </c>
      <c r="G150" s="3" t="str">
        <f>IFERROR(__xludf.DUMMYFUNCTION("IF(REGEXMATCH(F150, ""(?:.*,\s*)?([^,]+),\s*([^,]+),\s*Philippines.*""), TRIM(REGEXREPLACE(REGEXREPLACE(F150, ""(?:.*,\s*)?([^,]+),\s*([^,]+),\s*Philippines.*"", ""$1, $2""), ""\d+"", """")), """")"),"Pangil, Laguna")</f>
        <v>Pangil, Laguna</v>
      </c>
    </row>
    <row r="151">
      <c r="A151" s="1" t="s">
        <v>432</v>
      </c>
      <c r="C151" s="1" t="s">
        <v>13</v>
      </c>
      <c r="D151" s="1">
        <v>14.3939078</v>
      </c>
      <c r="E151" s="1">
        <v>121.4757027</v>
      </c>
      <c r="F151" s="1" t="s">
        <v>433</v>
      </c>
      <c r="G151" s="3" t="str">
        <f>IFERROR(__xludf.DUMMYFUNCTION("IF(REGEXMATCH(F151, ""(?:.*,\s*)?([^,]+),\s*([^,]+),\s*Philippines.*""), TRIM(REGEXREPLACE(REGEXREPLACE(F151, ""(?:.*,\s*)?([^,]+),\s*([^,]+),\s*Philippines.*"", ""$1, $2""), ""\d+"", """")), """")"),"Pangil, Laguna")</f>
        <v>Pangil, Laguna</v>
      </c>
    </row>
    <row r="152">
      <c r="A152" s="1" t="s">
        <v>434</v>
      </c>
      <c r="B152" s="1" t="s">
        <v>435</v>
      </c>
      <c r="C152" s="1" t="s">
        <v>13</v>
      </c>
      <c r="D152" s="1">
        <v>14.2976274</v>
      </c>
      <c r="E152" s="1">
        <v>121.103825</v>
      </c>
      <c r="F152" s="1" t="s">
        <v>436</v>
      </c>
      <c r="G152" s="3" t="str">
        <f>IFERROR(__xludf.DUMMYFUNCTION("IF(REGEXMATCH(F152, ""(?:.*,\s*)?([^,]+),\s*([^,]+),\s*Philippines.*""), TRIM(REGEXREPLACE(REGEXREPLACE(F152, ""(?:.*,\s*)?([^,]+),\s*([^,]+),\s*Philippines.*"", ""$1, $2""), ""\d+"", """")), """")"),"Santa Rosa, Laguna")</f>
        <v>Santa Rosa, Laguna</v>
      </c>
    </row>
    <row r="153">
      <c r="A153" s="1" t="s">
        <v>437</v>
      </c>
      <c r="B153" s="1" t="s">
        <v>438</v>
      </c>
      <c r="C153" s="1" t="s">
        <v>13</v>
      </c>
      <c r="D153" s="1">
        <v>15.6789647</v>
      </c>
      <c r="E153" s="1">
        <v>120.3339547</v>
      </c>
      <c r="F153" s="1" t="s">
        <v>439</v>
      </c>
      <c r="G153" s="3" t="str">
        <f>IFERROR(__xludf.DUMMYFUNCTION("IF(REGEXMATCH(F153, ""(?:.*,\s*)?([^,]+),\s*([^,]+),\s*Philippines.*""), TRIM(REGEXREPLACE(REGEXREPLACE(F153, ""(?:.*,\s*)?([^,]+),\s*([^,]+),\s*Philippines.*"", ""$1, $2""), ""\d+"", """")), """")"),"San Clemente, Tarlac")</f>
        <v>San Clemente, Tarlac</v>
      </c>
    </row>
    <row r="154">
      <c r="A154" s="1" t="s">
        <v>440</v>
      </c>
      <c r="B154" s="1" t="s">
        <v>441</v>
      </c>
      <c r="C154" s="1" t="s">
        <v>13</v>
      </c>
      <c r="D154" s="1">
        <v>13.8056522</v>
      </c>
      <c r="E154" s="1">
        <v>121.0544502</v>
      </c>
      <c r="F154" s="1" t="s">
        <v>442</v>
      </c>
      <c r="G154" s="3" t="str">
        <f>IFERROR(__xludf.DUMMYFUNCTION("IF(REGEXMATCH(F154, ""(?:.*,\s*)?([^,]+),\s*([^,]+),\s*Philippines.*""), TRIM(REGEXREPLACE(REGEXREPLACE(F154, ""(?:.*,\s*)?([^,]+),\s*([^,]+),\s*Philippines.*"", ""$1, $2""), ""\d+"", """")), """")"),"Batangas City, Batangas")</f>
        <v>Batangas City, Batangas</v>
      </c>
    </row>
    <row r="155">
      <c r="A155" s="1" t="s">
        <v>443</v>
      </c>
      <c r="B155" s="1" t="s">
        <v>444</v>
      </c>
      <c r="C155" s="1" t="s">
        <v>13</v>
      </c>
      <c r="D155" s="1">
        <v>14.2008306</v>
      </c>
      <c r="E155" s="1">
        <v>121.4300011</v>
      </c>
      <c r="F155" s="1" t="s">
        <v>445</v>
      </c>
      <c r="G155" s="3" t="str">
        <f>IFERROR(__xludf.DUMMYFUNCTION("IF(REGEXMATCH(F155, ""(?:.*,\s*)?([^,]+),\s*([^,]+),\s*Philippines.*""), TRIM(REGEXREPLACE(REGEXREPLACE(F155, ""(?:.*,\s*)?([^,]+),\s*([^,]+),\s*Philippines.*"", ""$1, $2""), ""\d+"", """")), """")"),"Magdalena, Laguna")</f>
        <v>Magdalena, Laguna</v>
      </c>
    </row>
    <row r="156">
      <c r="A156" s="1" t="s">
        <v>446</v>
      </c>
      <c r="B156" s="1" t="s">
        <v>447</v>
      </c>
      <c r="C156" s="1" t="s">
        <v>13</v>
      </c>
      <c r="D156" s="1">
        <v>14.071684</v>
      </c>
      <c r="E156" s="1">
        <v>121.5726295</v>
      </c>
      <c r="F156" s="1" t="s">
        <v>448</v>
      </c>
      <c r="G156" s="3" t="str">
        <f>IFERROR(__xludf.DUMMYFUNCTION("IF(REGEXMATCH(F156, ""(?:.*,\s*)?([^,]+),\s*([^,]+),\s*Philippines.*""), TRIM(REGEXREPLACE(REGEXREPLACE(F156, ""(?:.*,\s*)?([^,]+),\s*([^,]+),\s*Philippines.*"", ""$1, $2""), ""\d+"", """")), """")"),"Lucban, Quezon")</f>
        <v>Lucban, Quezon</v>
      </c>
    </row>
    <row r="157">
      <c r="A157" s="1" t="s">
        <v>449</v>
      </c>
      <c r="C157" s="1" t="s">
        <v>13</v>
      </c>
      <c r="D157" s="1">
        <v>14.1088509</v>
      </c>
      <c r="E157" s="1">
        <v>121.5540911</v>
      </c>
      <c r="F157" s="1" t="s">
        <v>450</v>
      </c>
      <c r="G157" s="3" t="str">
        <f>IFERROR(__xludf.DUMMYFUNCTION("IF(REGEXMATCH(F157, ""(?:.*,\s*)?([^,]+),\s*([^,]+),\s*Philippines.*""), TRIM(REGEXREPLACE(REGEXREPLACE(F157, ""(?:.*,\s*)?([^,]+),\s*([^,]+),\s*Philippines.*"", ""$1, $2""), ""\d+"", """")), """")"),"Lucban, Quezon")</f>
        <v>Lucban, Quezon</v>
      </c>
    </row>
    <row r="158">
      <c r="A158" s="1" t="s">
        <v>451</v>
      </c>
      <c r="B158" s="1" t="s">
        <v>452</v>
      </c>
      <c r="C158" s="1" t="s">
        <v>13</v>
      </c>
      <c r="D158" s="1">
        <v>14.2083974</v>
      </c>
      <c r="E158" s="1">
        <v>121.351304</v>
      </c>
      <c r="F158" s="1" t="s">
        <v>453</v>
      </c>
      <c r="G158" s="3" t="str">
        <f>IFERROR(__xludf.DUMMYFUNCTION("IF(REGEXMATCH(F158, ""(?:.*,\s*)?([^,]+),\s*([^,]+),\s*Philippines.*""), TRIM(REGEXREPLACE(REGEXREPLACE(F158, ""(?:.*,\s*)?([^,]+),\s*([^,]+),\s*Philippines.*"", ""$1, $2""), ""\d+"", """")), """")"),"Victoria, Laguna")</f>
        <v>Victoria, Laguna</v>
      </c>
    </row>
    <row r="159">
      <c r="A159" s="1" t="s">
        <v>454</v>
      </c>
      <c r="B159" s="1" t="s">
        <v>455</v>
      </c>
      <c r="C159" s="1" t="s">
        <v>25</v>
      </c>
      <c r="D159" s="1">
        <v>14.657715</v>
      </c>
      <c r="E159" s="1">
        <v>121.210667</v>
      </c>
      <c r="F159" s="1" t="s">
        <v>456</v>
      </c>
      <c r="G159" s="3" t="str">
        <f>IFERROR(__xludf.DUMMYFUNCTION("IF(REGEXMATCH(F159, ""(?:.*,\s*)?([^,]+),\s*([^,]+),\s*Philippines.*""), TRIM(REGEXREPLACE(REGEXREPLACE(F159, ""(?:.*,\s*)?([^,]+),\s*([^,]+),\s*Philippines.*"", ""$1, $2""), ""\d+"", """")), """")"),"Antipolo, Rizal")</f>
        <v>Antipolo, Rizal</v>
      </c>
    </row>
    <row r="160">
      <c r="A160" s="1" t="s">
        <v>457</v>
      </c>
      <c r="B160" s="1" t="s">
        <v>458</v>
      </c>
      <c r="C160" s="1" t="s">
        <v>13</v>
      </c>
      <c r="D160" s="1">
        <v>13.830902</v>
      </c>
      <c r="E160" s="1">
        <v>120.9166305</v>
      </c>
      <c r="F160" s="1" t="s">
        <v>459</v>
      </c>
      <c r="G160" s="3" t="str">
        <f>IFERROR(__xludf.DUMMYFUNCTION("IF(REGEXMATCH(F160, ""(?:.*,\s*)?([^,]+),\s*([^,]+),\s*Philippines.*""), TRIM(REGEXREPLACE(REGEXREPLACE(F160, ""(?:.*,\s*)?([^,]+),\s*([^,]+),\s*Philippines.*"", ""$1, $2""), ""\d+"", """")), """")"),"San Luis, Batangas")</f>
        <v>San Luis, Batangas</v>
      </c>
    </row>
    <row r="161">
      <c r="A161" s="1" t="s">
        <v>460</v>
      </c>
      <c r="B161" s="1" t="s">
        <v>461</v>
      </c>
      <c r="C161" s="1" t="s">
        <v>13</v>
      </c>
      <c r="D161" s="1">
        <v>13.8271306</v>
      </c>
      <c r="E161" s="1">
        <v>122.1622419</v>
      </c>
      <c r="F161" s="1" t="s">
        <v>462</v>
      </c>
      <c r="G161" s="3" t="str">
        <f>IFERROR(__xludf.DUMMYFUNCTION("IF(REGEXMATCH(F161, ""(?:.*,\s*)?([^,]+),\s*([^,]+),\s*Philippines.*""), TRIM(REGEXREPLACE(REGEXREPLACE(F161, ""(?:.*,\s*)?([^,]+),\s*([^,]+),\s*Philippines.*"", ""$1, $2""), ""\d+"", """")), """")"),"Gumaca, Quezon")</f>
        <v>Gumaca, Quezon</v>
      </c>
    </row>
    <row r="162">
      <c r="A162" s="1" t="s">
        <v>463</v>
      </c>
      <c r="B162" s="1" t="s">
        <v>464</v>
      </c>
      <c r="C162" s="1" t="s">
        <v>13</v>
      </c>
      <c r="D162" s="1">
        <v>14.068925</v>
      </c>
      <c r="E162" s="1">
        <v>122.2810753</v>
      </c>
      <c r="F162" s="1" t="s">
        <v>465</v>
      </c>
      <c r="G162" s="3" t="str">
        <f>IFERROR(__xludf.DUMMYFUNCTION("IF(REGEXMATCH(F162, ""(?:.*,\s*)?([^,]+),\s*([^,]+),\s*Philippines.*""), TRIM(REGEXREPLACE(REGEXREPLACE(F162, ""(?:.*,\s*)?([^,]+),\s*([^,]+),\s*Philippines.*"", ""$1, $2""), ""\d+"", """")), """")"),"Calauag, Quezon")</f>
        <v>Calauag, Quezon</v>
      </c>
    </row>
    <row r="163">
      <c r="A163" s="1" t="s">
        <v>466</v>
      </c>
      <c r="B163" s="1" t="s">
        <v>467</v>
      </c>
      <c r="C163" s="1" t="s">
        <v>25</v>
      </c>
      <c r="D163" s="1">
        <v>13.9308402</v>
      </c>
      <c r="E163" s="1">
        <v>121.6144064</v>
      </c>
      <c r="F163" s="1" t="s">
        <v>468</v>
      </c>
      <c r="G163" s="3" t="str">
        <f>IFERROR(__xludf.DUMMYFUNCTION("IF(REGEXMATCH(F163, ""(?:.*,\s*)?([^,]+),\s*([^,]+),\s*Philippines.*""), TRIM(REGEXREPLACE(REGEXREPLACE(F163, ""(?:.*,\s*)?([^,]+),\s*([^,]+),\s*Philippines.*"", ""$1, $2""), ""\d+"", """")), """")"),"Lucena City, Quezon")</f>
        <v>Lucena City, Quezon</v>
      </c>
    </row>
    <row r="164">
      <c r="A164" s="1" t="s">
        <v>469</v>
      </c>
      <c r="B164" s="1" t="s">
        <v>470</v>
      </c>
      <c r="C164" s="1" t="s">
        <v>9</v>
      </c>
      <c r="D164" s="1">
        <v>14.6509976</v>
      </c>
      <c r="E164" s="1">
        <v>120.9606061</v>
      </c>
      <c r="F164" s="1" t="s">
        <v>471</v>
      </c>
      <c r="G164" s="3" t="str">
        <f>IFERROR(__xludf.DUMMYFUNCTION("IF(REGEXMATCH(F164, ""(?:.*,\s*)?([^,]+),\s*([^,]+),\s*Philippines.*""), TRIM(REGEXREPLACE(REGEXREPLACE(F164, ""(?:.*,\s*)?([^,]+),\s*([^,]+),\s*Philippines.*"", ""$1, $2""), ""\d+"", """")), """")"),"Manila, Metro Manila")</f>
        <v>Manila, Metro Manila</v>
      </c>
    </row>
    <row r="165">
      <c r="A165" s="1" t="s">
        <v>472</v>
      </c>
      <c r="B165" s="1" t="s">
        <v>473</v>
      </c>
      <c r="C165" s="1" t="s">
        <v>9</v>
      </c>
      <c r="D165" s="1">
        <v>13.8255575</v>
      </c>
      <c r="E165" s="1">
        <v>121.3945838</v>
      </c>
      <c r="F165" s="1" t="s">
        <v>474</v>
      </c>
      <c r="G165" s="3" t="str">
        <f>IFERROR(__xludf.DUMMYFUNCTION("IF(REGEXMATCH(F165, ""(?:.*,\s*)?([^,]+),\s*([^,]+),\s*Philippines.*""), TRIM(REGEXREPLACE(REGEXREPLACE(F165, ""(?:.*,\s*)?([^,]+),\s*([^,]+),\s*Philippines.*"", ""$1, $2""), ""\d+"", """")), """")"),"San Juan, Batangas")</f>
        <v>San Juan, Batangas</v>
      </c>
    </row>
    <row r="166">
      <c r="A166" s="1" t="s">
        <v>475</v>
      </c>
      <c r="B166" s="1" t="s">
        <v>476</v>
      </c>
      <c r="C166" s="1" t="s">
        <v>13</v>
      </c>
      <c r="D166" s="1">
        <v>14.6042242</v>
      </c>
      <c r="E166" s="1">
        <v>121.2594484</v>
      </c>
      <c r="F166" s="1" t="s">
        <v>477</v>
      </c>
      <c r="G166" s="3" t="str">
        <f>IFERROR(__xludf.DUMMYFUNCTION("IF(REGEXMATCH(F166, ""(?:.*,\s*)?([^,]+),\s*([^,]+),\s*Philippines.*""), TRIM(REGEXREPLACE(REGEXREPLACE(F166, ""(?:.*,\s*)?([^,]+),\s*([^,]+),\s*Philippines.*"", ""$1, $2""), ""\d+"", """")), """")"),"Baras, Rizal")</f>
        <v>Baras, Rizal</v>
      </c>
    </row>
    <row r="167">
      <c r="A167" s="1" t="s">
        <v>478</v>
      </c>
      <c r="B167" s="1" t="s">
        <v>479</v>
      </c>
      <c r="C167" s="1" t="s">
        <v>13</v>
      </c>
      <c r="D167" s="1">
        <v>14.7254596</v>
      </c>
      <c r="E167" s="1">
        <v>121.5993636</v>
      </c>
      <c r="F167" s="1" t="s">
        <v>480</v>
      </c>
      <c r="G167" s="3" t="str">
        <f>IFERROR(__xludf.DUMMYFUNCTION("IF(REGEXMATCH(F167, ""(?:.*,\s*)?([^,]+),\s*([^,]+),\s*Philippines.*""), TRIM(REGEXREPLACE(REGEXREPLACE(F167, ""(?:.*,\s*)?([^,]+),\s*([^,]+),\s*Philippines.*"", ""$1, $2""), ""\d+"", """")), """")"),"General Nakar, Quezon")</f>
        <v>General Nakar, Quezon</v>
      </c>
    </row>
    <row r="168">
      <c r="A168" s="1" t="s">
        <v>481</v>
      </c>
      <c r="B168" s="1" t="s">
        <v>482</v>
      </c>
      <c r="C168" s="1" t="s">
        <v>25</v>
      </c>
      <c r="D168" s="1">
        <v>13.7804543</v>
      </c>
      <c r="E168" s="1">
        <v>121.0697993</v>
      </c>
      <c r="F168" s="1" t="s">
        <v>483</v>
      </c>
      <c r="G168" s="3" t="str">
        <f>IFERROR(__xludf.DUMMYFUNCTION("IF(REGEXMATCH(F168, ""(?:.*,\s*)?([^,]+),\s*([^,]+),\s*Philippines.*""), TRIM(REGEXREPLACE(REGEXREPLACE(F168, ""(?:.*,\s*)?([^,]+),\s*([^,]+),\s*Philippines.*"", ""$1, $2""), ""\d+"", """")), """")"),"Batangas City, Batangas")</f>
        <v>Batangas City, Batangas</v>
      </c>
    </row>
    <row r="169">
      <c r="A169" s="1" t="s">
        <v>484</v>
      </c>
      <c r="B169" s="1" t="s">
        <v>485</v>
      </c>
      <c r="C169" s="1" t="s">
        <v>13</v>
      </c>
      <c r="D169" s="1">
        <v>13.7554667</v>
      </c>
      <c r="E169" s="1">
        <v>121.0531781</v>
      </c>
      <c r="F169" s="1" t="s">
        <v>486</v>
      </c>
      <c r="G169" s="3" t="str">
        <f>IFERROR(__xludf.DUMMYFUNCTION("IF(REGEXMATCH(F169, ""(?:.*,\s*)?([^,]+),\s*([^,]+),\s*Philippines.*""), TRIM(REGEXREPLACE(REGEXREPLACE(F169, ""(?:.*,\s*)?([^,]+),\s*([^,]+),\s*Philippines.*"", ""$1, $2""), ""\d+"", """")), """")"),"Batangas City, Batangas")</f>
        <v>Batangas City, Batangas</v>
      </c>
    </row>
    <row r="170">
      <c r="A170" s="1" t="s">
        <v>487</v>
      </c>
      <c r="B170" s="1" t="s">
        <v>488</v>
      </c>
      <c r="C170" s="1" t="s">
        <v>9</v>
      </c>
      <c r="D170" s="1">
        <v>14.5656805</v>
      </c>
      <c r="E170" s="1">
        <v>121.0320766</v>
      </c>
      <c r="F170" s="1" t="s">
        <v>489</v>
      </c>
      <c r="G170" s="3" t="str">
        <f>IFERROR(__xludf.DUMMYFUNCTION("IF(REGEXMATCH(F170, ""(?:.*,\s*)?([^,]+),\s*([^,]+),\s*Philippines.*""), TRIM(REGEXREPLACE(REGEXREPLACE(F170, ""(?:.*,\s*)?([^,]+),\s*([^,]+),\s*Philippines.*"", ""$1, $2""), ""\d+"", """")), """")"),"Makati City, Metro Manila")</f>
        <v>Makati City, Metro Manila</v>
      </c>
    </row>
    <row r="171">
      <c r="A171" s="1" t="s">
        <v>490</v>
      </c>
      <c r="B171" s="1" t="s">
        <v>491</v>
      </c>
      <c r="C171" s="1" t="s">
        <v>25</v>
      </c>
      <c r="D171" s="1">
        <v>13.9453372</v>
      </c>
      <c r="E171" s="1">
        <v>121.1199493</v>
      </c>
      <c r="F171" s="1" t="s">
        <v>492</v>
      </c>
      <c r="G171" s="3" t="str">
        <f>IFERROR(__xludf.DUMMYFUNCTION("IF(REGEXMATCH(F171, ""(?:.*,\s*)?([^,]+),\s*([^,]+),\s*Philippines.*""), TRIM(REGEXREPLACE(REGEXREPLACE(F171, ""(?:.*,\s*)?([^,]+),\s*([^,]+),\s*Philippines.*"", ""$1, $2""), ""\d+"", """")), """")"),"Lipa City, Batangas")</f>
        <v>Lipa City, Batangas</v>
      </c>
    </row>
    <row r="172">
      <c r="A172" s="1" t="s">
        <v>493</v>
      </c>
      <c r="B172" s="1" t="s">
        <v>494</v>
      </c>
      <c r="C172" s="1" t="s">
        <v>25</v>
      </c>
      <c r="D172" s="1">
        <v>13.8286524</v>
      </c>
      <c r="E172" s="1">
        <v>121.3957911</v>
      </c>
      <c r="F172" s="1" t="s">
        <v>495</v>
      </c>
      <c r="G172" s="3" t="str">
        <f>IFERROR(__xludf.DUMMYFUNCTION("IF(REGEXMATCH(F172, ""(?:.*,\s*)?([^,]+),\s*([^,]+),\s*Philippines.*""), TRIM(REGEXREPLACE(REGEXREPLACE(F172, ""(?:.*,\s*)?([^,]+),\s*([^,]+),\s*Philippines.*"", ""$1, $2""), ""\d+"", """")), """")"),"San Juan, Batangas")</f>
        <v>San Juan, Batangas</v>
      </c>
    </row>
    <row r="173">
      <c r="A173" s="1" t="s">
        <v>496</v>
      </c>
      <c r="B173" s="1" t="s">
        <v>497</v>
      </c>
      <c r="C173" s="1" t="s">
        <v>13</v>
      </c>
      <c r="D173" s="1">
        <v>13.7759184</v>
      </c>
      <c r="E173" s="1">
        <v>121.0453799</v>
      </c>
      <c r="F173" s="1" t="s">
        <v>498</v>
      </c>
      <c r="G173" s="3" t="str">
        <f>IFERROR(__xludf.DUMMYFUNCTION("IF(REGEXMATCH(F173, ""(?:.*,\s*)?([^,]+),\s*([^,]+),\s*Philippines.*""), TRIM(REGEXREPLACE(REGEXREPLACE(F173, ""(?:.*,\s*)?([^,]+),\s*([^,]+),\s*Philippines.*"", ""$1, $2""), ""\d+"", """")), """")"),"Batangas City, Batangas")</f>
        <v>Batangas City, Batangas</v>
      </c>
    </row>
    <row r="174">
      <c r="A174" s="1" t="s">
        <v>499</v>
      </c>
      <c r="B174" s="1" t="s">
        <v>500</v>
      </c>
      <c r="C174" s="1" t="s">
        <v>25</v>
      </c>
      <c r="D174" s="1">
        <v>14.0626427</v>
      </c>
      <c r="E174" s="1">
        <v>120.6271805</v>
      </c>
      <c r="F174" s="1" t="s">
        <v>501</v>
      </c>
      <c r="G174" s="3" t="str">
        <f>IFERROR(__xludf.DUMMYFUNCTION("IF(REGEXMATCH(F174, ""(?:.*,\s*)?([^,]+),\s*([^,]+),\s*Philippines.*""), TRIM(REGEXREPLACE(REGEXREPLACE(F174, ""(?:.*,\s*)?([^,]+),\s*([^,]+),\s*Philippines.*"", ""$1, $2""), ""\d+"", """")), """")"),"Nasugbu, Batangas")</f>
        <v>Nasugbu, Batangas</v>
      </c>
    </row>
    <row r="175">
      <c r="A175" s="1" t="s">
        <v>502</v>
      </c>
      <c r="B175" s="1" t="s">
        <v>503</v>
      </c>
      <c r="C175" s="1" t="s">
        <v>25</v>
      </c>
      <c r="D175" s="1">
        <v>13.7923628</v>
      </c>
      <c r="E175" s="1">
        <v>121.0102734</v>
      </c>
      <c r="F175" s="1" t="s">
        <v>504</v>
      </c>
      <c r="G175" s="3" t="str">
        <f>IFERROR(__xludf.DUMMYFUNCTION("IF(REGEXMATCH(F175, ""(?:.*,\s*)?([^,]+),\s*([^,]+),\s*Philippines.*""), TRIM(REGEXREPLACE(REGEXREPLACE(F175, ""(?:.*,\s*)?([^,]+),\s*([^,]+),\s*Philippines.*"", ""$1, $2""), ""\d+"", """")), """")"),"Bauan, Batangas")</f>
        <v>Bauan, Batangas</v>
      </c>
    </row>
    <row r="176">
      <c r="A176" s="1" t="s">
        <v>505</v>
      </c>
      <c r="B176" s="1" t="s">
        <v>503</v>
      </c>
      <c r="C176" s="1" t="s">
        <v>25</v>
      </c>
      <c r="D176" s="1">
        <v>13.7923628</v>
      </c>
      <c r="E176" s="1">
        <v>121.0102734</v>
      </c>
      <c r="F176" s="1" t="s">
        <v>504</v>
      </c>
      <c r="G176" s="3" t="str">
        <f>IFERROR(__xludf.DUMMYFUNCTION("IF(REGEXMATCH(F176, ""(?:.*,\s*)?([^,]+),\s*([^,]+),\s*Philippines.*""), TRIM(REGEXREPLACE(REGEXREPLACE(F176, ""(?:.*,\s*)?([^,]+),\s*([^,]+),\s*Philippines.*"", ""$1, $2""), ""\d+"", """")), """")"),"Bauan, Batangas")</f>
        <v>Bauan, Batangas</v>
      </c>
    </row>
    <row r="177">
      <c r="A177" s="1" t="s">
        <v>506</v>
      </c>
      <c r="B177" s="1" t="s">
        <v>507</v>
      </c>
      <c r="C177" s="1" t="s">
        <v>13</v>
      </c>
      <c r="D177" s="1">
        <v>13.7936272</v>
      </c>
      <c r="E177" s="1">
        <v>120.9489091</v>
      </c>
      <c r="F177" s="1" t="s">
        <v>508</v>
      </c>
      <c r="G177" s="3" t="str">
        <f>IFERROR(__xludf.DUMMYFUNCTION("IF(REGEXMATCH(F177, ""(?:.*,\s*)?([^,]+),\s*([^,]+),\s*Philippines.*""), TRIM(REGEXREPLACE(REGEXREPLACE(F177, ""(?:.*,\s*)?([^,]+),\s*([^,]+),\s*Philippines.*"", ""$1, $2""), ""\d+"", """")), """")"),"Bauan, Batangas")</f>
        <v>Bauan, Batangas</v>
      </c>
    </row>
    <row r="178">
      <c r="A178" s="1" t="s">
        <v>509</v>
      </c>
      <c r="B178" s="1" t="s">
        <v>510</v>
      </c>
      <c r="C178" s="1" t="s">
        <v>13</v>
      </c>
      <c r="D178" s="1">
        <v>13.792626</v>
      </c>
      <c r="E178" s="1">
        <v>121.00254</v>
      </c>
      <c r="F178" s="1" t="s">
        <v>511</v>
      </c>
      <c r="G178" s="3" t="str">
        <f>IFERROR(__xludf.DUMMYFUNCTION("IF(REGEXMATCH(F178, ""(?:.*,\s*)?([^,]+),\s*([^,]+),\s*Philippines.*""), TRIM(REGEXREPLACE(REGEXREPLACE(F178, ""(?:.*,\s*)?([^,]+),\s*([^,]+),\s*Philippines.*"", ""$1, $2""), ""\d+"", """")), """")"),"Bauan, Batangas")</f>
        <v>Bauan, Batangas</v>
      </c>
    </row>
    <row r="179">
      <c r="A179" s="1" t="s">
        <v>512</v>
      </c>
      <c r="B179" s="1" t="s">
        <v>513</v>
      </c>
      <c r="C179" s="1" t="s">
        <v>13</v>
      </c>
      <c r="D179" s="1">
        <v>13.8259118</v>
      </c>
      <c r="E179" s="1">
        <v>121.2597753</v>
      </c>
      <c r="F179" s="1" t="s">
        <v>514</v>
      </c>
      <c r="G179" s="3" t="str">
        <f>IFERROR(__xludf.DUMMYFUNCTION("IF(REGEXMATCH(F179, ""(?:.*,\s*)?([^,]+),\s*([^,]+),\s*Philippines.*""), TRIM(REGEXREPLACE(REGEXREPLACE(F179, ""(?:.*,\s*)?([^,]+),\s*([^,]+),\s*Philippines.*"", ""$1, $2""), ""\d+"", """")), """")"),"Rosario, Batangas")</f>
        <v>Rosario, Batangas</v>
      </c>
    </row>
    <row r="180">
      <c r="A180" s="1" t="s">
        <v>515</v>
      </c>
      <c r="B180" s="1" t="s">
        <v>516</v>
      </c>
      <c r="C180" s="1" t="s">
        <v>13</v>
      </c>
      <c r="D180" s="1">
        <v>14.319313</v>
      </c>
      <c r="E180" s="1">
        <v>121.3141291</v>
      </c>
      <c r="F180" s="1" t="s">
        <v>517</v>
      </c>
      <c r="G180" s="3" t="str">
        <f>IFERROR(__xludf.DUMMYFUNCTION("IF(REGEXMATCH(F180, ""(?:.*,\s*)?([^,]+),\s*([^,]+),\s*Philippines.*""), TRIM(REGEXREPLACE(REGEXREPLACE(F180, ""(?:.*,\s*)?([^,]+),\s*([^,]+),\s*Philippines.*"", ""$1, $2""), ""\d+"", """")), """")"),"Jala-jala, Rizal")</f>
        <v>Jala-jala, Rizal</v>
      </c>
    </row>
    <row r="181">
      <c r="A181" s="1" t="s">
        <v>518</v>
      </c>
      <c r="B181" s="1" t="s">
        <v>519</v>
      </c>
      <c r="C181" s="1" t="s">
        <v>25</v>
      </c>
      <c r="D181" s="1">
        <v>14.5779791</v>
      </c>
      <c r="E181" s="1">
        <v>121.1416201</v>
      </c>
      <c r="F181" s="1" t="s">
        <v>520</v>
      </c>
      <c r="G181" s="3" t="str">
        <f>IFERROR(__xludf.DUMMYFUNCTION("IF(REGEXMATCH(F181, ""(?:.*,\s*)?([^,]+),\s*([^,]+),\s*Philippines.*""), TRIM(REGEXREPLACE(REGEXREPLACE(F181, ""(?:.*,\s*)?([^,]+),\s*([^,]+),\s*Philippines.*"", ""$1, $2""), ""\d+"", """")), """")"),"Taytay, Rizal")</f>
        <v>Taytay, Rizal</v>
      </c>
    </row>
    <row r="182">
      <c r="A182" s="1" t="s">
        <v>521</v>
      </c>
      <c r="B182" s="1" t="s">
        <v>522</v>
      </c>
      <c r="C182" s="1" t="s">
        <v>25</v>
      </c>
      <c r="D182" s="1">
        <v>14.3927224</v>
      </c>
      <c r="E182" s="1">
        <v>120.9411866</v>
      </c>
      <c r="F182" s="1" t="s">
        <v>523</v>
      </c>
      <c r="G182" s="3" t="str">
        <f>IFERROR(__xludf.DUMMYFUNCTION("IF(REGEXMATCH(F182, ""(?:.*,\s*)?([^,]+),\s*([^,]+),\s*Philippines.*""), TRIM(REGEXREPLACE(REGEXREPLACE(F182, ""(?:.*,\s*)?([^,]+),\s*([^,]+),\s*Philippines.*"", ""$1, $2""), ""\d+"", """")), """")"),"Imus, Cavite")</f>
        <v>Imus, Cavite</v>
      </c>
    </row>
    <row r="183">
      <c r="A183" s="1" t="s">
        <v>524</v>
      </c>
      <c r="B183" s="1" t="s">
        <v>525</v>
      </c>
      <c r="C183" s="1" t="s">
        <v>13</v>
      </c>
      <c r="D183" s="1">
        <v>14.1606213</v>
      </c>
      <c r="E183" s="1">
        <v>120.7553296</v>
      </c>
      <c r="F183" s="1" t="s">
        <v>526</v>
      </c>
      <c r="G183" s="3" t="str">
        <f>IFERROR(__xludf.DUMMYFUNCTION("IF(REGEXMATCH(F183, ""(?:.*,\s*)?([^,]+),\s*([^,]+),\s*Philippines.*""), TRIM(REGEXREPLACE(REGEXREPLACE(F183, ""(?:.*,\s*)?([^,]+),\s*([^,]+),\s*Philippines.*"", ""$1, $2""), ""\d+"", """")), """")"),"Magallanes, Cavite")</f>
        <v>Magallanes, Cavite</v>
      </c>
    </row>
    <row r="184">
      <c r="A184" s="1" t="s">
        <v>527</v>
      </c>
      <c r="B184" s="1" t="s">
        <v>528</v>
      </c>
      <c r="C184" s="1" t="s">
        <v>25</v>
      </c>
      <c r="D184" s="1">
        <v>14.4309605</v>
      </c>
      <c r="E184" s="1">
        <v>120.9308267</v>
      </c>
      <c r="F184" s="1" t="s">
        <v>529</v>
      </c>
      <c r="G184" s="3" t="str">
        <f>IFERROR(__xludf.DUMMYFUNCTION("IF(REGEXMATCH(F184, ""(?:.*,\s*)?([^,]+),\s*([^,]+),\s*Philippines.*""), TRIM(REGEXREPLACE(REGEXREPLACE(F184, ""(?:.*,\s*)?([^,]+),\s*([^,]+),\s*Philippines.*"", ""$1, $2""), ""\d+"", """")), """")"),"Imus, Cavite")</f>
        <v>Imus, Cavite</v>
      </c>
    </row>
    <row r="185">
      <c r="A185" s="1" t="s">
        <v>530</v>
      </c>
      <c r="B185" s="1" t="s">
        <v>531</v>
      </c>
      <c r="C185" s="1" t="s">
        <v>13</v>
      </c>
      <c r="D185" s="1">
        <v>14.566899</v>
      </c>
      <c r="E185" s="1">
        <v>121.126547</v>
      </c>
      <c r="F185" s="1" t="s">
        <v>532</v>
      </c>
      <c r="G185" s="3" t="str">
        <f>IFERROR(__xludf.DUMMYFUNCTION("IF(REGEXMATCH(F185, ""(?:.*,\s*)?([^,]+),\s*([^,]+),\s*Philippines.*""), TRIM(REGEXREPLACE(REGEXREPLACE(F185, ""(?:.*,\s*)?([^,]+),\s*([^,]+),\s*Philippines.*"", ""$1, $2""), ""\d+"", """")), """")"),"Taytay, Rizal")</f>
        <v>Taytay, Rizal</v>
      </c>
    </row>
    <row r="186">
      <c r="A186" s="1" t="s">
        <v>533</v>
      </c>
      <c r="B186" s="1" t="s">
        <v>534</v>
      </c>
      <c r="C186" s="1" t="s">
        <v>25</v>
      </c>
      <c r="D186" s="1">
        <v>14.6067455</v>
      </c>
      <c r="E186" s="1">
        <v>121.1196276</v>
      </c>
      <c r="F186" s="1" t="s">
        <v>535</v>
      </c>
      <c r="G186" s="3" t="str">
        <f>IFERROR(__xludf.DUMMYFUNCTION("IF(REGEXMATCH(F186, ""(?:.*,\s*)?([^,]+),\s*([^,]+),\s*Philippines.*""), TRIM(REGEXREPLACE(REGEXREPLACE(F186, ""(?:.*,\s*)?([^,]+),\s*([^,]+),\s*Philippines.*"", ""$1, $2""), ""\d+"", """")), """")"),"Cainta, Lalawigan ng Rizal")</f>
        <v>Cainta, Lalawigan ng Rizal</v>
      </c>
    </row>
    <row r="187">
      <c r="A187" s="1" t="s">
        <v>536</v>
      </c>
      <c r="B187" s="1">
        <v>237.0</v>
      </c>
      <c r="C187" s="1" t="s">
        <v>25</v>
      </c>
      <c r="D187" s="1">
        <v>14.3792719</v>
      </c>
      <c r="E187" s="1">
        <v>120.8824721</v>
      </c>
      <c r="F187" s="1" t="s">
        <v>537</v>
      </c>
      <c r="G187" s="3" t="str">
        <f>IFERROR(__xludf.DUMMYFUNCTION("IF(REGEXMATCH(F187, ""(?:.*,\s*)?([^,]+),\s*([^,]+),\s*Philippines.*""), TRIM(REGEXREPLACE(REGEXREPLACE(F187, ""(?:.*,\s*)?([^,]+),\s*([^,]+),\s*Philippines.*"", ""$1, $2""), ""\d+"", """")), """")"),"General Trias, Cavite")</f>
        <v>General Trias, Cavite</v>
      </c>
    </row>
    <row r="188">
      <c r="A188" s="1" t="s">
        <v>538</v>
      </c>
      <c r="B188" s="1" t="s">
        <v>539</v>
      </c>
      <c r="C188" s="1" t="s">
        <v>9</v>
      </c>
      <c r="D188" s="1">
        <v>14.7498896</v>
      </c>
      <c r="E188" s="1">
        <v>121.1574106</v>
      </c>
      <c r="F188" s="1" t="s">
        <v>540</v>
      </c>
      <c r="G188" s="3" t="str">
        <f>IFERROR(__xludf.DUMMYFUNCTION("IF(REGEXMATCH(F188, ""(?:.*,\s*)?([^,]+),\s*([^,]+),\s*Philippines.*""), TRIM(REGEXREPLACE(REGEXREPLACE(F188, ""(?:.*,\s*)?([^,]+),\s*([^,]+),\s*Philippines.*"", ""$1, $2""), ""\d+"", """")), """")"),"Rodriguez, Rizal")</f>
        <v>Rodriguez, Rizal</v>
      </c>
    </row>
    <row r="189">
      <c r="A189" s="1" t="s">
        <v>541</v>
      </c>
      <c r="B189" s="1" t="s">
        <v>542</v>
      </c>
      <c r="C189" s="1" t="s">
        <v>13</v>
      </c>
      <c r="D189" s="1">
        <v>12.879721</v>
      </c>
      <c r="E189" s="1">
        <v>121.774017</v>
      </c>
      <c r="F189" s="1" t="s">
        <v>47</v>
      </c>
      <c r="G189" s="3" t="str">
        <f>IFERROR(__xludf.DUMMYFUNCTION("IF(REGEXMATCH(F189, ""(?:.*,\s*)?([^,]+),\s*([^,]+),\s*Philippines.*""), TRIM(REGEXREPLACE(REGEXREPLACE(F189, ""(?:.*,\s*)?([^,]+),\s*([^,]+),\s*Philippines.*"", ""$1, $2""), ""\d+"", """")), """")"),"")</f>
        <v/>
      </c>
    </row>
    <row r="190">
      <c r="A190" s="1" t="s">
        <v>543</v>
      </c>
      <c r="B190" s="1" t="s">
        <v>544</v>
      </c>
      <c r="C190" s="1" t="s">
        <v>13</v>
      </c>
      <c r="D190" s="1">
        <v>14.3155259</v>
      </c>
      <c r="E190" s="1">
        <v>121.0769437</v>
      </c>
      <c r="F190" s="1" t="s">
        <v>545</v>
      </c>
      <c r="G190" s="3" t="str">
        <f>IFERROR(__xludf.DUMMYFUNCTION("IF(REGEXMATCH(F190, ""(?:.*,\s*)?([^,]+),\s*([^,]+),\s*Philippines.*""), TRIM(REGEXREPLACE(REGEXREPLACE(F190, ""(?:.*,\s*)?([^,]+),\s*([^,]+),\s*Philippines.*"", ""$1, $2""), ""\d+"", """")), """")"),"Biñan, Laguna")</f>
        <v>Biñan, Laguna</v>
      </c>
    </row>
    <row r="191">
      <c r="A191" s="1" t="s">
        <v>546</v>
      </c>
      <c r="B191" s="1" t="s">
        <v>547</v>
      </c>
      <c r="C191" s="1" t="s">
        <v>9</v>
      </c>
      <c r="D191" s="1">
        <v>14.3374771</v>
      </c>
      <c r="E191" s="1">
        <v>121.0869764</v>
      </c>
      <c r="F191" s="1" t="s">
        <v>548</v>
      </c>
      <c r="G191" s="3" t="str">
        <f>IFERROR(__xludf.DUMMYFUNCTION("IF(REGEXMATCH(F191, ""(?:.*,\s*)?([^,]+),\s*([^,]+),\s*Philippines.*""), TRIM(REGEXREPLACE(REGEXREPLACE(F191, ""(?:.*,\s*)?([^,]+),\s*([^,]+),\s*Philippines.*"", ""$1, $2""), ""\d+"", """")), """")"),"Biñan, Laguna")</f>
        <v>Biñan, Laguna</v>
      </c>
    </row>
    <row r="192">
      <c r="A192" s="1" t="s">
        <v>549</v>
      </c>
      <c r="B192" s="1" t="s">
        <v>550</v>
      </c>
      <c r="C192" s="1" t="s">
        <v>9</v>
      </c>
      <c r="D192" s="1">
        <v>14.2982203</v>
      </c>
      <c r="E192" s="1">
        <v>121.0580686</v>
      </c>
      <c r="F192" s="1" t="s">
        <v>551</v>
      </c>
      <c r="G192" s="3" t="str">
        <f>IFERROR(__xludf.DUMMYFUNCTION("IF(REGEXMATCH(F192, ""(?:.*,\s*)?([^,]+),\s*([^,]+),\s*Philippines.*""), TRIM(REGEXREPLACE(REGEXREPLACE(F192, ""(?:.*,\s*)?([^,]+),\s*([^,]+),\s*Philippines.*"", ""$1, $2""), ""\d+"", """")), """")"),"Biñan, Laguna")</f>
        <v>Biñan, Laguna</v>
      </c>
    </row>
    <row r="193">
      <c r="A193" s="1" t="s">
        <v>552</v>
      </c>
      <c r="B193" s="1" t="s">
        <v>553</v>
      </c>
      <c r="C193" s="1" t="s">
        <v>13</v>
      </c>
      <c r="D193" s="1">
        <v>17.6393321</v>
      </c>
      <c r="E193" s="1">
        <v>120.4097693</v>
      </c>
      <c r="F193" s="1" t="s">
        <v>554</v>
      </c>
      <c r="G193" s="3" t="str">
        <f>IFERROR(__xludf.DUMMYFUNCTION("IF(REGEXMATCH(F193, ""(?:.*,\s*)?([^,]+),\s*([^,]+),\s*Philippines.*""), TRIM(REGEXREPLACE(REGEXREPLACE(F193, ""(?:.*,\s*)?([^,]+),\s*([^,]+),\s*Philippines.*"", ""$1, $2""), ""\d+"", """")), """")"),"Santo Domingo, Ilocos Sur")</f>
        <v>Santo Domingo, Ilocos Sur</v>
      </c>
    </row>
    <row r="194">
      <c r="A194" s="1" t="s">
        <v>555</v>
      </c>
      <c r="B194" s="1" t="s">
        <v>556</v>
      </c>
      <c r="C194" s="1" t="s">
        <v>9</v>
      </c>
      <c r="D194" s="1">
        <v>14.2430809</v>
      </c>
      <c r="E194" s="1">
        <v>121.4464189</v>
      </c>
      <c r="F194" s="1" t="s">
        <v>557</v>
      </c>
      <c r="G194" s="3" t="str">
        <f>IFERROR(__xludf.DUMMYFUNCTION("IF(REGEXMATCH(F194, ""(?:.*,\s*)?([^,]+),\s*([^,]+),\s*Philippines.*""), TRIM(REGEXREPLACE(REGEXREPLACE(F194, ""(?:.*,\s*)?([^,]+),\s*([^,]+),\s*Philippines.*"", ""$1, $2""), ""\d+"", """")), """")"),"Pagsanjan, Laguna")</f>
        <v>Pagsanjan, Laguna</v>
      </c>
    </row>
    <row r="195">
      <c r="A195" s="1" t="s">
        <v>558</v>
      </c>
      <c r="B195" s="1" t="s">
        <v>559</v>
      </c>
      <c r="C195" s="1" t="s">
        <v>9</v>
      </c>
      <c r="D195" s="1">
        <v>14.2897252</v>
      </c>
      <c r="E195" s="1">
        <v>121.0539079</v>
      </c>
      <c r="F195" s="1" t="s">
        <v>560</v>
      </c>
      <c r="G195" s="3" t="str">
        <f>IFERROR(__xludf.DUMMYFUNCTION("IF(REGEXMATCH(F195, ""(?:.*,\s*)?([^,]+),\s*([^,]+),\s*Philippines.*""), TRIM(REGEXREPLACE(REGEXREPLACE(F195, ""(?:.*,\s*)?([^,]+),\s*([^,]+),\s*Philippines.*"", ""$1, $2""), ""\d+"", """")), """")"),"Biñan, Laguna")</f>
        <v>Biñan, Laguna</v>
      </c>
    </row>
    <row r="196">
      <c r="A196" s="1" t="s">
        <v>561</v>
      </c>
      <c r="B196" s="1" t="s">
        <v>562</v>
      </c>
      <c r="C196" s="1" t="s">
        <v>25</v>
      </c>
      <c r="D196" s="1">
        <v>14.133964</v>
      </c>
      <c r="E196" s="1">
        <v>120.849888</v>
      </c>
      <c r="F196" s="1" t="s">
        <v>563</v>
      </c>
      <c r="G196" s="3" t="str">
        <f>IFERROR(__xludf.DUMMYFUNCTION("IF(REGEXMATCH(F196, ""(?:.*,\s*)?([^,]+),\s*([^,]+),\s*Philippines.*""), TRIM(REGEXREPLACE(REGEXREPLACE(F196, ""(?:.*,\s*)?([^,]+),\s*([^,]+),\s*Philippines.*"", ""$1, $2""), ""\d+"", """")), """")"),"Alfonso, Cavite")</f>
        <v>Alfonso, Cavite</v>
      </c>
    </row>
    <row r="197">
      <c r="A197" s="1" t="s">
        <v>564</v>
      </c>
      <c r="B197" s="1" t="s">
        <v>565</v>
      </c>
      <c r="C197" s="1" t="s">
        <v>13</v>
      </c>
      <c r="D197" s="1">
        <v>14.291325</v>
      </c>
      <c r="E197" s="1">
        <v>121.1289377</v>
      </c>
      <c r="F197" s="1" t="s">
        <v>566</v>
      </c>
      <c r="G197" s="3" t="str">
        <f>IFERROR(__xludf.DUMMYFUNCTION("IF(REGEXMATCH(F197, ""(?:.*,\s*)?([^,]+),\s*([^,]+),\s*Philippines.*""), TRIM(REGEXREPLACE(REGEXREPLACE(F197, ""(?:.*,\s*)?([^,]+),\s*([^,]+),\s*Philippines.*"", ""$1, $2""), ""\d+"", """")), """")"),"Cabuyao City, Laguna")</f>
        <v>Cabuyao City, Laguna</v>
      </c>
    </row>
    <row r="198">
      <c r="A198" s="1" t="s">
        <v>567</v>
      </c>
      <c r="B198" s="1" t="s">
        <v>568</v>
      </c>
      <c r="C198" s="1" t="s">
        <v>13</v>
      </c>
      <c r="D198" s="1">
        <v>13.8895159</v>
      </c>
      <c r="E198" s="1">
        <v>121.0663347</v>
      </c>
      <c r="F198" s="1" t="s">
        <v>569</v>
      </c>
      <c r="G198" s="3" t="str">
        <f>IFERROR(__xludf.DUMMYFUNCTION("IF(REGEXMATCH(F198, ""(?:.*,\s*)?([^,]+),\s*([^,]+),\s*Philippines.*""), TRIM(REGEXREPLACE(REGEXREPLACE(F198, ""(?:.*,\s*)?([^,]+),\s*([^,]+),\s*Philippines.*"", ""$1, $2""), ""\d+"", """")), """")"),"San Jose, Batangas")</f>
        <v>San Jose, Batangas</v>
      </c>
    </row>
    <row r="199">
      <c r="A199" s="1" t="s">
        <v>570</v>
      </c>
      <c r="B199" s="1" t="s">
        <v>571</v>
      </c>
      <c r="C199" s="1" t="s">
        <v>13</v>
      </c>
      <c r="D199" s="1">
        <v>13.8477436</v>
      </c>
      <c r="E199" s="1">
        <v>121.4716833</v>
      </c>
      <c r="F199" s="1" t="s">
        <v>572</v>
      </c>
      <c r="G199" s="3" t="str">
        <f>IFERROR(__xludf.DUMMYFUNCTION("IF(REGEXMATCH(F199, ""(?:.*,\s*)?([^,]+),\s*([^,]+),\s*Philippines.*""), TRIM(REGEXREPLACE(REGEXREPLACE(F199, ""(?:.*,\s*)?([^,]+),\s*([^,]+),\s*Philippines.*"", ""$1, $2""), ""\d+"", """")), """")"),"Sariaya, Quezon")</f>
        <v>Sariaya, Quezon</v>
      </c>
    </row>
    <row r="200">
      <c r="A200" s="1" t="s">
        <v>573</v>
      </c>
      <c r="B200" s="1" t="s">
        <v>574</v>
      </c>
      <c r="C200" s="1" t="s">
        <v>13</v>
      </c>
      <c r="D200" s="1">
        <v>13.7550667</v>
      </c>
      <c r="E200" s="1">
        <v>121.1796292</v>
      </c>
      <c r="F200" s="1" t="s">
        <v>575</v>
      </c>
      <c r="G200" s="3" t="str">
        <f>IFERROR(__xludf.DUMMYFUNCTION("IF(REGEXMATCH(F200, ""(?:.*,\s*)?([^,]+),\s*([^,]+),\s*Philippines.*""), TRIM(REGEXREPLACE(REGEXREPLACE(F200, ""(?:.*,\s*)?([^,]+),\s*([^,]+),\s*Philippines.*"", ""$1, $2""), ""\d+"", """")), """")"),"Taysan, Batangas")</f>
        <v>Taysan, Batangas</v>
      </c>
    </row>
    <row r="201">
      <c r="A201" s="1" t="s">
        <v>576</v>
      </c>
      <c r="B201" s="1" t="s">
        <v>577</v>
      </c>
      <c r="C201" s="1" t="s">
        <v>13</v>
      </c>
      <c r="D201" s="1">
        <v>14.9509668</v>
      </c>
      <c r="E201" s="1">
        <v>121.0235106</v>
      </c>
      <c r="F201" s="1" t="s">
        <v>578</v>
      </c>
      <c r="G201" s="3" t="str">
        <f>IFERROR(__xludf.DUMMYFUNCTION("IF(REGEXMATCH(F201, ""(?:.*,\s*)?([^,]+),\s*([^,]+),\s*Philippines.*""), TRIM(REGEXREPLACE(REGEXREPLACE(F201, ""(?:.*,\s*)?([^,]+),\s*([^,]+),\s*Philippines.*"", ""$1, $2""), ""\d+"", """")), """")"),"Angat, Bulacan")</f>
        <v>Angat, Bulacan</v>
      </c>
    </row>
    <row r="202">
      <c r="A202" s="1" t="s">
        <v>579</v>
      </c>
      <c r="B202" s="1" t="s">
        <v>580</v>
      </c>
      <c r="C202" s="1" t="s">
        <v>25</v>
      </c>
      <c r="D202" s="1">
        <v>13.9889117</v>
      </c>
      <c r="E202" s="1">
        <v>121.75756</v>
      </c>
      <c r="F202" s="1" t="s">
        <v>581</v>
      </c>
      <c r="G202" s="3" t="str">
        <f>IFERROR(__xludf.DUMMYFUNCTION("IF(REGEXMATCH(F202, ""(?:.*,\s*)?([^,]+),\s*([^,]+),\s*Philippines.*""), TRIM(REGEXREPLACE(REGEXREPLACE(F202, ""(?:.*,\s*)?([^,]+),\s*([^,]+),\s*Philippines.*"", ""$1, $2""), ""\d+"", """")), """")"),"Pagbilao, Quezon")</f>
        <v>Pagbilao, Quezon</v>
      </c>
    </row>
    <row r="203">
      <c r="A203" s="1" t="s">
        <v>582</v>
      </c>
      <c r="B203" s="1" t="s">
        <v>583</v>
      </c>
      <c r="C203" s="1" t="s">
        <v>25</v>
      </c>
      <c r="D203" s="1">
        <v>14.4648886</v>
      </c>
      <c r="E203" s="1">
        <v>121.1928255</v>
      </c>
      <c r="F203" s="1" t="s">
        <v>584</v>
      </c>
      <c r="G203" s="3" t="str">
        <f>IFERROR(__xludf.DUMMYFUNCTION("IF(REGEXMATCH(F203, ""(?:.*,\s*)?([^,]+),\s*([^,]+),\s*Philippines.*""), TRIM(REGEXREPLACE(REGEXREPLACE(F203, ""(?:.*,\s*)?([^,]+),\s*([^,]+),\s*Philippines.*"", ""$1, $2""), ""\d+"", """")), """")"),"Binangonan, Rizal")</f>
        <v>Binangonan, Rizal</v>
      </c>
    </row>
    <row r="204">
      <c r="A204" s="1" t="s">
        <v>585</v>
      </c>
      <c r="B204" s="1" t="s">
        <v>586</v>
      </c>
      <c r="C204" s="1" t="s">
        <v>9</v>
      </c>
      <c r="D204" s="1">
        <v>14.355423</v>
      </c>
      <c r="E204" s="1">
        <v>121.2254336</v>
      </c>
      <c r="F204" s="1" t="s">
        <v>587</v>
      </c>
      <c r="G204" s="3" t="str">
        <f>IFERROR(__xludf.DUMMYFUNCTION("IF(REGEXMATCH(F204, ""(?:.*,\s*)?([^,]+),\s*([^,]+),\s*Philippines.*""), TRIM(REGEXREPLACE(REGEXREPLACE(F204, ""(?:.*,\s*)?([^,]+),\s*([^,]+),\s*Philippines.*"", ""$1, $2""), ""\d+"", """")), """")"),"Binangonan, Rizal")</f>
        <v>Binangonan, Rizal</v>
      </c>
    </row>
    <row r="205">
      <c r="A205" s="1" t="s">
        <v>588</v>
      </c>
      <c r="B205" s="1" t="s">
        <v>589</v>
      </c>
      <c r="C205" s="1" t="s">
        <v>25</v>
      </c>
      <c r="D205" s="1">
        <v>14.4740131</v>
      </c>
      <c r="E205" s="1">
        <v>121.196431</v>
      </c>
      <c r="F205" s="1" t="s">
        <v>590</v>
      </c>
      <c r="G205" s="3" t="str">
        <f>IFERROR(__xludf.DUMMYFUNCTION("IF(REGEXMATCH(F205, ""(?:.*,\s*)?([^,]+),\s*([^,]+),\s*Philippines.*""), TRIM(REGEXREPLACE(REGEXREPLACE(F205, ""(?:.*,\s*)?([^,]+),\s*([^,]+),\s*Philippines.*"", ""$1, $2""), ""\d+"", """")), """")"),"Binangonan, Rizal")</f>
        <v>Binangonan, Rizal</v>
      </c>
    </row>
    <row r="206">
      <c r="A206" s="1" t="s">
        <v>591</v>
      </c>
      <c r="B206" s="1" t="s">
        <v>592</v>
      </c>
      <c r="C206" s="1" t="s">
        <v>13</v>
      </c>
      <c r="D206" s="1">
        <v>14.4840218</v>
      </c>
      <c r="E206" s="1">
        <v>121.2074694</v>
      </c>
      <c r="F206" s="1" t="s">
        <v>593</v>
      </c>
      <c r="G206" s="3" t="str">
        <f>IFERROR(__xludf.DUMMYFUNCTION("IF(REGEXMATCH(F206, ""(?:.*,\s*)?([^,]+),\s*([^,]+),\s*Philippines.*""), TRIM(REGEXREPLACE(REGEXREPLACE(F206, ""(?:.*,\s*)?([^,]+),\s*([^,]+),\s*Philippines.*"", ""$1, $2""), ""\d+"", """")), """")"),"Binangonan, Rizal")</f>
        <v>Binangonan, Rizal</v>
      </c>
    </row>
    <row r="207">
      <c r="A207" s="1" t="s">
        <v>594</v>
      </c>
      <c r="B207" s="1" t="s">
        <v>595</v>
      </c>
      <c r="C207" s="1" t="s">
        <v>25</v>
      </c>
      <c r="D207" s="1">
        <v>14.7316046</v>
      </c>
      <c r="E207" s="1">
        <v>121.6984139</v>
      </c>
      <c r="F207" s="1" t="s">
        <v>596</v>
      </c>
      <c r="G207" s="3" t="str">
        <f>IFERROR(__xludf.DUMMYFUNCTION("IF(REGEXMATCH(F207, ""(?:.*,\s*)?([^,]+),\s*([^,]+),\s*Philippines.*""), TRIM(REGEXREPLACE(REGEXREPLACE(F207, ""(?:.*,\s*)?([^,]+),\s*([^,]+),\s*Philippines.*"", ""$1, $2""), ""\d+"", """")), """")"),"Infanta, Quezon")</f>
        <v>Infanta, Quezon</v>
      </c>
    </row>
    <row r="208">
      <c r="A208" s="1" t="s">
        <v>597</v>
      </c>
      <c r="B208" s="1" t="s">
        <v>598</v>
      </c>
      <c r="C208" s="1" t="s">
        <v>25</v>
      </c>
      <c r="D208" s="1">
        <v>14.7340957</v>
      </c>
      <c r="E208" s="1">
        <v>121.6938932</v>
      </c>
      <c r="F208" s="1" t="s">
        <v>599</v>
      </c>
      <c r="G208" s="3" t="str">
        <f>IFERROR(__xludf.DUMMYFUNCTION("IF(REGEXMATCH(F208, ""(?:.*,\s*)?([^,]+),\s*([^,]+),\s*Philippines.*""), TRIM(REGEXREPLACE(REGEXREPLACE(F208, ""(?:.*,\s*)?([^,]+),\s*([^,]+),\s*Philippines.*"", ""$1, $2""), ""\d+"", """")), """")"),"Infanta, Quezon")</f>
        <v>Infanta, Quezon</v>
      </c>
    </row>
    <row r="209">
      <c r="A209" s="1" t="s">
        <v>600</v>
      </c>
      <c r="B209" s="1" t="s">
        <v>485</v>
      </c>
      <c r="C209" s="1" t="s">
        <v>13</v>
      </c>
      <c r="D209" s="1">
        <v>14.6143876</v>
      </c>
      <c r="E209" s="1">
        <v>120.9826056</v>
      </c>
      <c r="F209" s="1" t="s">
        <v>601</v>
      </c>
      <c r="G209" s="3" t="str">
        <f>IFERROR(__xludf.DUMMYFUNCTION("IF(REGEXMATCH(F209, ""(?:.*,\s*)?([^,]+),\s*([^,]+),\s*Philippines.*""), TRIM(REGEXREPLACE(REGEXREPLACE(F209, ""(?:.*,\s*)?([^,]+),\s*([^,]+),\s*Philippines.*"", ""$1, $2""), ""\d+"", """")), """")"),"Manila, Metro Manila")</f>
        <v>Manila, Metro Manila</v>
      </c>
    </row>
    <row r="210">
      <c r="A210" s="1" t="s">
        <v>602</v>
      </c>
      <c r="B210" s="1" t="s">
        <v>603</v>
      </c>
      <c r="C210" s="1" t="s">
        <v>25</v>
      </c>
      <c r="D210" s="1">
        <v>13.8866227</v>
      </c>
      <c r="E210" s="1">
        <v>121.2811785</v>
      </c>
      <c r="F210" s="1" t="s">
        <v>604</v>
      </c>
      <c r="G210" s="3" t="str">
        <f>IFERROR(__xludf.DUMMYFUNCTION("IF(REGEXMATCH(F210, ""(?:.*,\s*)?([^,]+),\s*([^,]+),\s*Philippines.*""), TRIM(REGEXREPLACE(REGEXREPLACE(F210, ""(?:.*,\s*)?([^,]+),\s*([^,]+),\s*Philippines.*"", ""$1, $2""), ""\d+"", """")), """")"),"San Antonio, Quezon")</f>
        <v>San Antonio, Quezon</v>
      </c>
    </row>
    <row r="211">
      <c r="A211" s="1" t="s">
        <v>605</v>
      </c>
      <c r="B211" s="1" t="s">
        <v>606</v>
      </c>
      <c r="C211" s="1" t="s">
        <v>25</v>
      </c>
      <c r="D211" s="1">
        <v>14.5860743</v>
      </c>
      <c r="E211" s="1">
        <v>120.9825154</v>
      </c>
      <c r="F211" s="1" t="s">
        <v>607</v>
      </c>
      <c r="G211" s="3" t="str">
        <f>IFERROR(__xludf.DUMMYFUNCTION("IF(REGEXMATCH(F211, ""(?:.*,\s*)?([^,]+),\s*([^,]+),\s*Philippines.*""), TRIM(REGEXREPLACE(REGEXREPLACE(F211, ""(?:.*,\s*)?([^,]+),\s*([^,]+),\s*Philippines.*"", ""$1, $2""), ""\d+"", """")), """")"),"Manila, Metro Manila")</f>
        <v>Manila, Metro Manila</v>
      </c>
    </row>
    <row r="212">
      <c r="A212" s="1" t="s">
        <v>608</v>
      </c>
      <c r="B212" s="1" t="s">
        <v>609</v>
      </c>
      <c r="C212" s="1" t="s">
        <v>25</v>
      </c>
      <c r="D212" s="1">
        <v>14.297435</v>
      </c>
      <c r="E212" s="1">
        <v>121.107278</v>
      </c>
      <c r="F212" s="1" t="s">
        <v>610</v>
      </c>
      <c r="G212" s="3" t="str">
        <f>IFERROR(__xludf.DUMMYFUNCTION("IF(REGEXMATCH(F212, ""(?:.*,\s*)?([^,]+),\s*([^,]+),\s*Philippines.*""), TRIM(REGEXREPLACE(REGEXREPLACE(F212, ""(?:.*,\s*)?([^,]+),\s*([^,]+),\s*Philippines.*"", ""$1, $2""), ""\d+"", """")), """")"),"City of Santa Rosa, Laguna")</f>
        <v>City of Santa Rosa, Laguna</v>
      </c>
    </row>
    <row r="213">
      <c r="A213" s="1" t="s">
        <v>611</v>
      </c>
      <c r="B213" s="1" t="s">
        <v>612</v>
      </c>
      <c r="C213" s="1" t="s">
        <v>25</v>
      </c>
      <c r="D213" s="1">
        <v>14.5049767</v>
      </c>
      <c r="E213" s="1">
        <v>121.2817458</v>
      </c>
      <c r="F213" s="1" t="s">
        <v>613</v>
      </c>
      <c r="G213" s="3" t="str">
        <f>IFERROR(__xludf.DUMMYFUNCTION("IF(REGEXMATCH(F213, ""(?:.*,\s*)?([^,]+),\s*([^,]+),\s*Philippines.*""), TRIM(REGEXREPLACE(REGEXREPLACE(F213, ""(?:.*,\s*)?([^,]+),\s*([^,]+),\s*Philippines.*"", ""$1, $2""), ""\d+"", """")), """")"),"Tanay, Rizal")</f>
        <v>Tanay, Rizal</v>
      </c>
    </row>
    <row r="214">
      <c r="A214" s="1" t="s">
        <v>614</v>
      </c>
      <c r="B214" s="1" t="s">
        <v>615</v>
      </c>
      <c r="C214" s="1" t="s">
        <v>25</v>
      </c>
      <c r="D214" s="1">
        <v>14.4504123</v>
      </c>
      <c r="E214" s="1">
        <v>121.4224521</v>
      </c>
      <c r="F214" s="1" t="s">
        <v>616</v>
      </c>
      <c r="G214" s="3" t="str">
        <f>IFERROR(__xludf.DUMMYFUNCTION("IF(REGEXMATCH(F214, ""(?:.*,\s*)?([^,]+),\s*([^,]+),\s*Philippines.*""), TRIM(REGEXREPLACE(REGEXREPLACE(F214, ""(?:.*,\s*)?([^,]+),\s*([^,]+),\s*Philippines.*"", ""$1, $2""), ""\d+"", """")), """")"),"Mabitac, Laguna")</f>
        <v>Mabitac, Laguna</v>
      </c>
    </row>
    <row r="215">
      <c r="A215" s="1" t="s">
        <v>617</v>
      </c>
      <c r="B215" s="1" t="s">
        <v>618</v>
      </c>
      <c r="C215" s="1" t="s">
        <v>25</v>
      </c>
      <c r="D215" s="1">
        <v>14.3394549</v>
      </c>
      <c r="E215" s="1">
        <v>120.9075826</v>
      </c>
      <c r="F215" s="1" t="s">
        <v>619</v>
      </c>
      <c r="G215" s="3" t="str">
        <f>IFERROR(__xludf.DUMMYFUNCTION("IF(REGEXMATCH(F215, ""(?:.*,\s*)?([^,]+),\s*([^,]+),\s*Philippines.*""), TRIM(REGEXREPLACE(REGEXREPLACE(F215, ""(?:.*,\s*)?([^,]+),\s*([^,]+),\s*Philippines.*"", ""$1, $2""), ""\d+"", """")), """")"),"General Trias, Cavite")</f>
        <v>General Trias, Cavite</v>
      </c>
    </row>
    <row r="216">
      <c r="A216" s="1" t="s">
        <v>620</v>
      </c>
      <c r="B216" s="1" t="s">
        <v>621</v>
      </c>
      <c r="C216" s="1" t="s">
        <v>622</v>
      </c>
      <c r="D216" s="1">
        <v>12.879721</v>
      </c>
      <c r="E216" s="1">
        <v>121.774017</v>
      </c>
      <c r="F216" s="1" t="s">
        <v>47</v>
      </c>
      <c r="G216" s="3" t="str">
        <f>IFERROR(__xludf.DUMMYFUNCTION("IF(REGEXMATCH(F216, ""(?:.*,\s*)?([^,]+),\s*([^,]+),\s*Philippines.*""), TRIM(REGEXREPLACE(REGEXREPLACE(F216, ""(?:.*,\s*)?([^,]+),\s*([^,]+),\s*Philippines.*"", ""$1, $2""), ""\d+"", """")), """")"),"")</f>
        <v/>
      </c>
    </row>
    <row r="217">
      <c r="A217" s="1" t="s">
        <v>623</v>
      </c>
      <c r="B217" s="1" t="s">
        <v>624</v>
      </c>
      <c r="C217" s="1" t="s">
        <v>625</v>
      </c>
      <c r="D217" s="1">
        <v>14.1036003</v>
      </c>
      <c r="E217" s="1">
        <v>120.9406598</v>
      </c>
      <c r="F217" s="1" t="s">
        <v>626</v>
      </c>
      <c r="G217" s="3" t="str">
        <f>IFERROR(__xludf.DUMMYFUNCTION("IF(REGEXMATCH(F217, ""(?:.*,\s*)?([^,]+),\s*([^,]+),\s*Philippines.*""), TRIM(REGEXREPLACE(REGEXREPLACE(F217, ""(?:.*,\s*)?([^,]+),\s*([^,]+),\s*Philippines.*"", ""$1, $2""), ""\d+"", """")), """")"),"Tagaytay City, Cavite")</f>
        <v>Tagaytay City, Cavite</v>
      </c>
    </row>
    <row r="218">
      <c r="A218" s="1" t="s">
        <v>627</v>
      </c>
      <c r="B218" s="1" t="s">
        <v>628</v>
      </c>
      <c r="C218" s="1" t="s">
        <v>13</v>
      </c>
      <c r="D218" s="1">
        <v>13.9380141</v>
      </c>
      <c r="E218" s="1">
        <v>121.6128364</v>
      </c>
      <c r="F218" s="1" t="s">
        <v>629</v>
      </c>
      <c r="G218" s="3" t="str">
        <f>IFERROR(__xludf.DUMMYFUNCTION("IF(REGEXMATCH(F218, ""(?:.*,\s*)?([^,]+),\s*([^,]+),\s*Philippines.*""), TRIM(REGEXREPLACE(REGEXREPLACE(F218, ""(?:.*,\s*)?([^,]+),\s*([^,]+),\s*Philippines.*"", ""$1, $2""), ""\d+"", """")), """")"),"Lucena City, Quezon")</f>
        <v>Lucena City, Quezon</v>
      </c>
    </row>
    <row r="219">
      <c r="A219" s="1" t="s">
        <v>630</v>
      </c>
      <c r="C219" s="1" t="s">
        <v>13</v>
      </c>
      <c r="D219" s="1">
        <v>13.9215164</v>
      </c>
      <c r="E219" s="1">
        <v>121.1456864</v>
      </c>
      <c r="F219" s="1" t="s">
        <v>631</v>
      </c>
      <c r="G219" s="3" t="str">
        <f>IFERROR(__xludf.DUMMYFUNCTION("IF(REGEXMATCH(F219, ""(?:.*,\s*)?([^,]+),\s*([^,]+),\s*Philippines.*""), TRIM(REGEXREPLACE(REGEXREPLACE(F219, ""(?:.*,\s*)?([^,]+),\s*([^,]+),\s*Philippines.*"", ""$1, $2""), ""\d+"", """")), """")"),"Lipa City, Batangas")</f>
        <v>Lipa City, Batangas</v>
      </c>
    </row>
    <row r="220">
      <c r="A220" s="1" t="s">
        <v>632</v>
      </c>
      <c r="B220" s="1" t="s">
        <v>633</v>
      </c>
      <c r="C220" s="1" t="s">
        <v>13</v>
      </c>
      <c r="D220" s="1">
        <v>10.3676</v>
      </c>
      <c r="E220" s="1">
        <v>123.8318886</v>
      </c>
      <c r="F220" s="1" t="s">
        <v>634</v>
      </c>
      <c r="G220" s="3" t="str">
        <f>IFERROR(__xludf.DUMMYFUNCTION("IF(REGEXMATCH(F220, ""(?:.*,\s*)?([^,]+),\s*([^,]+),\s*Philippines.*""), TRIM(REGEXREPLACE(REGEXREPLACE(F220, ""(?:.*,\s*)?([^,]+),\s*([^,]+),\s*Philippines.*"", ""$1, $2""), ""\d+"", """")), """")"),"Cebu City, Cebu")</f>
        <v>Cebu City, Cebu</v>
      </c>
    </row>
    <row r="221">
      <c r="A221" s="1" t="s">
        <v>635</v>
      </c>
      <c r="B221" s="1" t="s">
        <v>636</v>
      </c>
      <c r="C221" s="1" t="s">
        <v>13</v>
      </c>
      <c r="D221" s="1">
        <v>14.3147078</v>
      </c>
      <c r="E221" s="1">
        <v>121.1123219</v>
      </c>
      <c r="F221" s="1" t="s">
        <v>637</v>
      </c>
      <c r="G221" s="3" t="str">
        <f>IFERROR(__xludf.DUMMYFUNCTION("IF(REGEXMATCH(F221, ""(?:.*,\s*)?([^,]+),\s*([^,]+),\s*Philippines.*""), TRIM(REGEXREPLACE(REGEXREPLACE(F221, ""(?:.*,\s*)?([^,]+),\s*([^,]+),\s*Philippines.*"", ""$1, $2""), ""\d+"", """")), """")"),"City of Santa Rosa, Laguna")</f>
        <v>City of Santa Rosa, Laguna</v>
      </c>
    </row>
    <row r="222">
      <c r="A222" s="1" t="s">
        <v>638</v>
      </c>
      <c r="B222" s="1" t="s">
        <v>639</v>
      </c>
      <c r="C222" s="1" t="s">
        <v>13</v>
      </c>
      <c r="D222" s="1">
        <v>13.3470576</v>
      </c>
      <c r="E222" s="1">
        <v>122.520188</v>
      </c>
      <c r="F222" s="1" t="s">
        <v>640</v>
      </c>
      <c r="G222" s="3" t="str">
        <f>IFERROR(__xludf.DUMMYFUNCTION("IF(REGEXMATCH(F222, ""(?:.*,\s*)?([^,]+),\s*([^,]+),\s*Philippines.*""), TRIM(REGEXREPLACE(REGEXREPLACE(F222, ""(?:.*,\s*)?([^,]+),\s*([^,]+),\s*Philippines.*"", ""$1, $2""), ""\d+"", """")), """")"),"San Francisco (Aurora), Quezon")</f>
        <v>San Francisco (Aurora), Quezon</v>
      </c>
    </row>
    <row r="223">
      <c r="A223" s="1" t="s">
        <v>641</v>
      </c>
      <c r="B223" s="1" t="s">
        <v>642</v>
      </c>
      <c r="C223" s="1" t="s">
        <v>13</v>
      </c>
      <c r="D223" s="1">
        <v>8.0497088</v>
      </c>
      <c r="E223" s="1">
        <v>123.5658778</v>
      </c>
      <c r="F223" s="1" t="s">
        <v>643</v>
      </c>
      <c r="G223" s="3" t="str">
        <f>IFERROR(__xludf.DUMMYFUNCTION("IF(REGEXMATCH(F223, ""(?:.*,\s*)?([^,]+),\s*([^,]+),\s*Philippines.*""), TRIM(REGEXREPLACE(REGEXREPLACE(F223, ""(?:.*,\s*)?([^,]+),\s*([^,]+),\s*Philippines.*"", ""$1, $2""), ""\d+"", """")), """")"),"Bonifacio, Misamis Occidental")</f>
        <v>Bonifacio, Misamis Occidental</v>
      </c>
    </row>
    <row r="224">
      <c r="A224" s="1" t="s">
        <v>644</v>
      </c>
      <c r="B224" s="1" t="s">
        <v>645</v>
      </c>
      <c r="C224" s="1" t="s">
        <v>13</v>
      </c>
      <c r="D224" s="1">
        <v>14.1721309</v>
      </c>
      <c r="E224" s="1">
        <v>121.1043166</v>
      </c>
      <c r="F224" s="1" t="s">
        <v>646</v>
      </c>
      <c r="G224" s="3" t="str">
        <f>IFERROR(__xludf.DUMMYFUNCTION("IF(REGEXMATCH(F224, ""(?:.*,\s*)?([^,]+),\s*([^,]+),\s*Philippines.*""), TRIM(REGEXREPLACE(REGEXREPLACE(F224, ""(?:.*,\s*)?([^,]+),\s*([^,]+),\s*Philippines.*"", ""$1, $2""), ""\d+"", """")), """")"),"Calamba, Laguna")</f>
        <v>Calamba, Laguna</v>
      </c>
    </row>
    <row r="225">
      <c r="A225" s="1" t="s">
        <v>647</v>
      </c>
      <c r="B225" s="1" t="s">
        <v>648</v>
      </c>
      <c r="C225" s="1" t="s">
        <v>13</v>
      </c>
      <c r="D225" s="1">
        <v>14.2734657</v>
      </c>
      <c r="E225" s="1">
        <v>120.7538808</v>
      </c>
      <c r="F225" s="1" t="s">
        <v>649</v>
      </c>
      <c r="G225" s="3" t="str">
        <f>IFERROR(__xludf.DUMMYFUNCTION("IF(REGEXMATCH(F225, ""(?:.*,\s*)?([^,]+),\s*([^,]+),\s*Philippines.*""), TRIM(REGEXREPLACE(REGEXREPLACE(F225, ""(?:.*,\s*)?([^,]+),\s*([^,]+),\s*Philippines.*"", ""$1, $2""), ""\d+"", """")), """")"),"Maragondon, Cavite")</f>
        <v>Maragondon, Cavite</v>
      </c>
    </row>
    <row r="226">
      <c r="A226" s="1" t="s">
        <v>650</v>
      </c>
      <c r="B226" s="1" t="s">
        <v>651</v>
      </c>
      <c r="C226" s="1" t="s">
        <v>13</v>
      </c>
      <c r="D226" s="1">
        <v>14.0003207</v>
      </c>
      <c r="E226" s="1">
        <v>121.5697859</v>
      </c>
      <c r="F226" s="1" t="s">
        <v>652</v>
      </c>
      <c r="G226" s="3" t="str">
        <f>IFERROR(__xludf.DUMMYFUNCTION("IF(REGEXMATCH(F226, ""(?:.*,\s*)?([^,]+),\s*([^,]+),\s*Philippines.*""), TRIM(REGEXREPLACE(REGEXREPLACE(F226, ""(?:.*,\s*)?([^,]+),\s*([^,]+),\s*Philippines.*"", ""$1, $2""), ""\d+"", """")), """")"),"City of Tayabas, Quezon")</f>
        <v>City of Tayabas, Quezon</v>
      </c>
    </row>
    <row r="227">
      <c r="A227" s="1" t="s">
        <v>653</v>
      </c>
      <c r="B227" s="1" t="s">
        <v>654</v>
      </c>
      <c r="C227" s="1" t="s">
        <v>13</v>
      </c>
      <c r="D227" s="1">
        <v>14.0605953</v>
      </c>
      <c r="E227" s="1">
        <v>121.2658815</v>
      </c>
      <c r="F227" s="1" t="s">
        <v>655</v>
      </c>
      <c r="G227" s="3" t="str">
        <f>IFERROR(__xludf.DUMMYFUNCTION("IF(REGEXMATCH(F227, ""(?:.*,\s*)?([^,]+),\s*([^,]+),\s*Philippines.*""), TRIM(REGEXREPLACE(REGEXREPLACE(F227, ""(?:.*,\s*)?([^,]+),\s*([^,]+),\s*Philippines.*"", ""$1, $2""), ""\d+"", """")), """")"),"Alaminos, Laguna")</f>
        <v>Alaminos, Laguna</v>
      </c>
    </row>
    <row r="228">
      <c r="A228" s="1" t="s">
        <v>656</v>
      </c>
      <c r="B228" s="1" t="s">
        <v>657</v>
      </c>
      <c r="C228" s="1" t="s">
        <v>13</v>
      </c>
      <c r="D228" s="1">
        <v>14.1518841</v>
      </c>
      <c r="E228" s="1">
        <v>121.2526547</v>
      </c>
      <c r="F228" s="1" t="s">
        <v>402</v>
      </c>
      <c r="G228" s="3" t="str">
        <f>IFERROR(__xludf.DUMMYFUNCTION("IF(REGEXMATCH(F228, ""(?:.*,\s*)?([^,]+),\s*([^,]+),\s*Philippines.*""), TRIM(REGEXREPLACE(REGEXREPLACE(F228, ""(?:.*,\s*)?([^,]+),\s*([^,]+),\s*Philippines.*"", ""$1, $2""), ""\d+"", """")), """")"),"Los Baños, Laguna")</f>
        <v>Los Baños, Laguna</v>
      </c>
    </row>
    <row r="229">
      <c r="A229" s="1" t="s">
        <v>658</v>
      </c>
      <c r="B229" s="1" t="s">
        <v>659</v>
      </c>
      <c r="C229" s="1" t="s">
        <v>13</v>
      </c>
      <c r="D229" s="1">
        <v>13.7525803</v>
      </c>
      <c r="E229" s="1">
        <v>122.4438929</v>
      </c>
      <c r="F229" s="1" t="s">
        <v>660</v>
      </c>
      <c r="G229" s="3" t="str">
        <f>IFERROR(__xludf.DUMMYFUNCTION("IF(REGEXMATCH(F229, ""(?:.*,\s*)?([^,]+),\s*([^,]+),\s*Philippines.*""), TRIM(REGEXREPLACE(REGEXREPLACE(F229, ""(?:.*,\s*)?([^,]+),\s*([^,]+),\s*Philippines.*"", ""$1, $2""), ""\d+"", """")), """")"),"Buenavista, Quezon")</f>
        <v>Buenavista, Quezon</v>
      </c>
    </row>
    <row r="230">
      <c r="A230" s="1" t="s">
        <v>661</v>
      </c>
      <c r="B230" s="1" t="s">
        <v>662</v>
      </c>
      <c r="C230" s="1" t="s">
        <v>13</v>
      </c>
      <c r="D230" s="1">
        <v>12.879721</v>
      </c>
      <c r="E230" s="1">
        <v>121.774017</v>
      </c>
      <c r="F230" s="1" t="s">
        <v>47</v>
      </c>
      <c r="G230" s="3" t="str">
        <f>IFERROR(__xludf.DUMMYFUNCTION("IF(REGEXMATCH(F230, ""(?:.*,\s*)?([^,]+),\s*([^,]+),\s*Philippines.*""), TRIM(REGEXREPLACE(REGEXREPLACE(F230, ""(?:.*,\s*)?([^,]+),\s*([^,]+),\s*Philippines.*"", ""$1, $2""), ""\d+"", """")), """")"),"")</f>
        <v/>
      </c>
    </row>
    <row r="231">
      <c r="A231" s="1" t="s">
        <v>663</v>
      </c>
      <c r="B231" s="1" t="s">
        <v>491</v>
      </c>
      <c r="C231" s="1" t="s">
        <v>13</v>
      </c>
      <c r="D231" s="1">
        <v>13.9999288</v>
      </c>
      <c r="E231" s="1">
        <v>121.1687976</v>
      </c>
      <c r="F231" s="1" t="s">
        <v>664</v>
      </c>
      <c r="G231" s="3" t="str">
        <f>IFERROR(__xludf.DUMMYFUNCTION("IF(REGEXMATCH(F231, ""(?:.*,\s*)?([^,]+),\s*([^,]+),\s*Philippines.*""), TRIM(REGEXREPLACE(REGEXREPLACE(F231, ""(?:.*,\s*)?([^,]+),\s*([^,]+),\s*Philippines.*"", ""$1, $2""), ""\d+"", """")), """")"),"Lipa City, Batangas")</f>
        <v>Lipa City, Batangas</v>
      </c>
    </row>
    <row r="232">
      <c r="A232" s="1" t="s">
        <v>665</v>
      </c>
      <c r="B232" s="1" t="s">
        <v>666</v>
      </c>
      <c r="C232" s="1" t="s">
        <v>13</v>
      </c>
      <c r="D232" s="1">
        <v>13.7903575</v>
      </c>
      <c r="E232" s="1">
        <v>121.4027574</v>
      </c>
      <c r="F232" s="1" t="s">
        <v>667</v>
      </c>
      <c r="G232" s="3" t="str">
        <f>IFERROR(__xludf.DUMMYFUNCTION("IF(REGEXMATCH(F232, ""(?:.*,\s*)?([^,]+),\s*([^,]+),\s*Philippines.*""), TRIM(REGEXREPLACE(REGEXREPLACE(F232, ""(?:.*,\s*)?([^,]+),\s*([^,]+),\s*Philippines.*"", ""$1, $2""), ""\d+"", """")), """")"),"San Juan, Batangas")</f>
        <v>San Juan, Batangas</v>
      </c>
    </row>
    <row r="233">
      <c r="A233" s="1" t="s">
        <v>668</v>
      </c>
      <c r="B233" s="1" t="s">
        <v>669</v>
      </c>
      <c r="C233" s="1" t="s">
        <v>13</v>
      </c>
      <c r="D233" s="1">
        <v>13.8745265</v>
      </c>
      <c r="E233" s="1">
        <v>121.2158626</v>
      </c>
      <c r="F233" s="1" t="s">
        <v>670</v>
      </c>
      <c r="G233" s="3" t="str">
        <f>IFERROR(__xludf.DUMMYFUNCTION("IF(REGEXMATCH(F233, ""(?:.*,\s*)?([^,]+),\s*([^,]+),\s*Philippines.*""), TRIM(REGEXREPLACE(REGEXREPLACE(F233, ""(?:.*,\s*)?([^,]+),\s*([^,]+),\s*Philippines.*"", ""$1, $2""), ""\d+"", """")), """")"),"Padre Garcia, Batangas")</f>
        <v>Padre Garcia, Batangas</v>
      </c>
    </row>
    <row r="234">
      <c r="A234" s="1" t="s">
        <v>671</v>
      </c>
      <c r="B234" s="1" t="s">
        <v>672</v>
      </c>
      <c r="C234" s="1" t="s">
        <v>13</v>
      </c>
      <c r="D234" s="1">
        <v>13.9124215</v>
      </c>
      <c r="E234" s="1">
        <v>121.3916283</v>
      </c>
      <c r="F234" s="1" t="s">
        <v>673</v>
      </c>
      <c r="G234" s="3" t="str">
        <f>IFERROR(__xludf.DUMMYFUNCTION("IF(REGEXMATCH(F234, ""(?:.*,\s*)?([^,]+),\s*([^,]+),\s*Philippines.*""), TRIM(REGEXREPLACE(REGEXREPLACE(F234, ""(?:.*,\s*)?([^,]+),\s*([^,]+),\s*Philippines.*"", ""$1, $2""), ""\d+"", """")), """")"),"Candelaria, Quezon")</f>
        <v>Candelaria, Quezon</v>
      </c>
    </row>
    <row r="235">
      <c r="A235" s="1" t="s">
        <v>674</v>
      </c>
      <c r="B235" s="1" t="s">
        <v>491</v>
      </c>
      <c r="C235" s="1" t="s">
        <v>13</v>
      </c>
      <c r="D235" s="1">
        <v>13.9910587</v>
      </c>
      <c r="E235" s="1">
        <v>121.1452643</v>
      </c>
      <c r="F235" s="1" t="s">
        <v>675</v>
      </c>
      <c r="G235" s="3" t="str">
        <f>IFERROR(__xludf.DUMMYFUNCTION("IF(REGEXMATCH(F235, ""(?:.*,\s*)?([^,]+),\s*([^,]+),\s*Philippines.*""), TRIM(REGEXREPLACE(REGEXREPLACE(F235, ""(?:.*,\s*)?([^,]+),\s*([^,]+),\s*Philippines.*"", ""$1, $2""), ""\d+"", """")), """")"),"Lipa City, Batangas")</f>
        <v>Lipa City, Batangas</v>
      </c>
    </row>
    <row r="236">
      <c r="A236" s="1" t="s">
        <v>676</v>
      </c>
      <c r="C236" s="1" t="s">
        <v>13</v>
      </c>
      <c r="D236" s="1">
        <v>14.2813243</v>
      </c>
      <c r="E236" s="1">
        <v>120.9976694</v>
      </c>
      <c r="F236" s="1" t="s">
        <v>677</v>
      </c>
      <c r="G236" s="3" t="str">
        <f>IFERROR(__xludf.DUMMYFUNCTION("IF(REGEXMATCH(F236, ""(?:.*,\s*)?([^,]+),\s*([^,]+),\s*Philippines.*""), TRIM(REGEXREPLACE(REGEXREPLACE(F236, ""(?:.*,\s*)?([^,]+),\s*([^,]+),\s*Philippines.*"", ""$1, $2""), ""\d+"", """")), """")"),"Silang, Cavite")</f>
        <v>Silang, Cavite</v>
      </c>
    </row>
    <row r="237">
      <c r="A237" s="1" t="s">
        <v>678</v>
      </c>
      <c r="B237" s="1" t="s">
        <v>679</v>
      </c>
      <c r="C237" s="1" t="s">
        <v>13</v>
      </c>
      <c r="D237" s="1">
        <v>13.8009603</v>
      </c>
      <c r="E237" s="1">
        <v>121.2289998</v>
      </c>
      <c r="F237" s="1" t="s">
        <v>680</v>
      </c>
      <c r="G237" s="3" t="str">
        <f>IFERROR(__xludf.DUMMYFUNCTION("IF(REGEXMATCH(F237, ""(?:.*,\s*)?([^,]+),\s*([^,]+),\s*Philippines.*""), TRIM(REGEXREPLACE(REGEXREPLACE(F237, ""(?:.*,\s*)?([^,]+),\s*([^,]+),\s*Philippines.*"", ""$1, $2""), ""\d+"", """")), """")"),"Rosario, Batangas")</f>
        <v>Rosario, Batangas</v>
      </c>
    </row>
    <row r="238">
      <c r="A238" s="1" t="s">
        <v>681</v>
      </c>
      <c r="B238" s="1" t="s">
        <v>682</v>
      </c>
      <c r="C238" s="1" t="s">
        <v>13</v>
      </c>
      <c r="D238" s="1">
        <v>14.1568959</v>
      </c>
      <c r="E238" s="1">
        <v>121.0664044</v>
      </c>
      <c r="F238" s="1" t="s">
        <v>683</v>
      </c>
      <c r="G238" s="3" t="str">
        <f>IFERROR(__xludf.DUMMYFUNCTION("IF(REGEXMATCH(F238, ""(?:.*,\s*)?([^,]+),\s*([^,]+),\s*Philippines.*""), TRIM(REGEXREPLACE(REGEXREPLACE(F238, ""(?:.*,\s*)?([^,]+),\s*([^,]+),\s*Philippines.*"", ""$1, $2""), ""\d+"", """")), """")"),"Bunggo,")</f>
        <v>Bunggo,</v>
      </c>
    </row>
    <row r="239">
      <c r="A239" s="1" t="s">
        <v>684</v>
      </c>
      <c r="B239" s="1" t="s">
        <v>685</v>
      </c>
      <c r="C239" s="1" t="s">
        <v>13</v>
      </c>
      <c r="D239" s="1">
        <v>14.8480501</v>
      </c>
      <c r="E239" s="1">
        <v>121.9735225</v>
      </c>
      <c r="F239" s="1" t="s">
        <v>686</v>
      </c>
      <c r="G239" s="3" t="str">
        <f>IFERROR(__xludf.DUMMYFUNCTION("IF(REGEXMATCH(F239, ""(?:.*,\s*)?([^,]+),\s*([^,]+),\s*Philippines.*""), TRIM(REGEXREPLACE(REGEXREPLACE(F239, ""(?:.*,\s*)?([^,]+),\s*([^,]+),\s*Philippines.*"", ""$1, $2""), ""\d+"", """")), """")"),"Burdeos, Quezon")</f>
        <v>Burdeos, Quezon</v>
      </c>
    </row>
    <row r="240">
      <c r="A240" s="1" t="s">
        <v>687</v>
      </c>
      <c r="B240" s="1" t="s">
        <v>688</v>
      </c>
      <c r="C240" s="1" t="s">
        <v>13</v>
      </c>
      <c r="D240" s="1">
        <v>14.3163758</v>
      </c>
      <c r="E240" s="1">
        <v>120.7650058</v>
      </c>
      <c r="F240" s="1" t="s">
        <v>689</v>
      </c>
      <c r="G240" s="3" t="str">
        <f>IFERROR(__xludf.DUMMYFUNCTION("IF(REGEXMATCH(F240, ""(?:.*,\s*)?([^,]+),\s*([^,]+),\s*Philippines.*""), TRIM(REGEXREPLACE(REGEXREPLACE(F240, ""(?:.*,\s*)?([^,]+),\s*([^,]+),\s*Philippines.*"", ""$1, $2""), ""\d+"", """")), """")"),"Naic, Cavite")</f>
        <v>Naic, Cavite</v>
      </c>
    </row>
    <row r="241">
      <c r="A241" s="1" t="s">
        <v>690</v>
      </c>
      <c r="B241" s="1" t="s">
        <v>691</v>
      </c>
      <c r="C241" s="1" t="s">
        <v>13</v>
      </c>
      <c r="D241" s="1">
        <v>14.7933642</v>
      </c>
      <c r="E241" s="1">
        <v>122.2114952</v>
      </c>
      <c r="F241" s="1" t="s">
        <v>692</v>
      </c>
      <c r="G241" s="3" t="str">
        <f>IFERROR(__xludf.DUMMYFUNCTION("IF(REGEXMATCH(F241, ""(?:.*,\s*)?([^,]+),\s*([^,]+),\s*Philippines.*""), TRIM(REGEXREPLACE(REGEXREPLACE(F241, ""(?:.*,\s*)?([^,]+),\s*([^,]+),\s*Philippines.*"", ""$1, $2""), ""\d+"", """")), """")"),"Patnanungan, Quezon")</f>
        <v>Patnanungan, Quezon</v>
      </c>
    </row>
    <row r="242">
      <c r="A242" s="1" t="s">
        <v>693</v>
      </c>
      <c r="B242" s="1" t="s">
        <v>694</v>
      </c>
      <c r="C242" s="1" t="s">
        <v>13</v>
      </c>
      <c r="D242" s="1">
        <v>13.2462418</v>
      </c>
      <c r="E242" s="1">
        <v>122.531617</v>
      </c>
      <c r="F242" s="1" t="s">
        <v>695</v>
      </c>
      <c r="G242" s="3" t="str">
        <f>IFERROR(__xludf.DUMMYFUNCTION("IF(REGEXMATCH(F242, ""(?:.*,\s*)?([^,]+),\s*([^,]+),\s*Philippines.*""), TRIM(REGEXREPLACE(REGEXREPLACE(F242, ""(?:.*,\s*)?([^,]+),\s*([^,]+),\s*Philippines.*"", ""$1, $2""), ""\d+"", """")), """")"),"San Francisco (Aurora), Quezon")</f>
        <v>San Francisco (Aurora), Quezon</v>
      </c>
    </row>
    <row r="243">
      <c r="A243" s="1" t="s">
        <v>696</v>
      </c>
      <c r="B243" s="1" t="s">
        <v>697</v>
      </c>
      <c r="C243" s="1" t="s">
        <v>13</v>
      </c>
      <c r="D243" s="1">
        <v>13.8874838</v>
      </c>
      <c r="E243" s="1">
        <v>121.3684577</v>
      </c>
      <c r="F243" s="1" t="s">
        <v>698</v>
      </c>
      <c r="G243" s="3" t="str">
        <f>IFERROR(__xludf.DUMMYFUNCTION("IF(REGEXMATCH(F243, ""(?:.*,\s*)?([^,]+),\s*([^,]+),\s*Philippines.*""), TRIM(REGEXREPLACE(REGEXREPLACE(F243, ""(?:.*,\s*)?([^,]+),\s*([^,]+),\s*Philippines.*"", ""$1, $2""), ""\d+"", """")), """")"),"Tiaong, Quezon")</f>
        <v>Tiaong, Quezon</v>
      </c>
    </row>
    <row r="244">
      <c r="A244" s="1" t="s">
        <v>699</v>
      </c>
      <c r="B244" s="1" t="s">
        <v>700</v>
      </c>
      <c r="C244" s="1" t="s">
        <v>13</v>
      </c>
      <c r="D244" s="1">
        <v>14.0245116</v>
      </c>
      <c r="E244" s="1">
        <v>122.5300252</v>
      </c>
      <c r="F244" s="1" t="s">
        <v>701</v>
      </c>
      <c r="G244" s="3" t="str">
        <f>IFERROR(__xludf.DUMMYFUNCTION("IF(REGEXMATCH(F244, ""(?:.*,\s*)?([^,]+),\s*([^,]+),\s*Philippines.*""), TRIM(REGEXREPLACE(REGEXREPLACE(F244, ""(?:.*,\s*)?([^,]+),\s*([^,]+),\s*Philippines.*"", ""$1, $2""), ""\d+"", """")), """")"),"Tagkawayan, Quezon")</f>
        <v>Tagkawayan, Quezon</v>
      </c>
    </row>
    <row r="245">
      <c r="A245" s="1" t="s">
        <v>702</v>
      </c>
      <c r="B245" s="1" t="s">
        <v>703</v>
      </c>
      <c r="C245" s="1" t="s">
        <v>13</v>
      </c>
      <c r="D245" s="1">
        <v>11.5784039</v>
      </c>
      <c r="E245" s="1">
        <v>125.4439507</v>
      </c>
      <c r="F245" s="1" t="s">
        <v>704</v>
      </c>
      <c r="G245" s="3" t="str">
        <f>IFERROR(__xludf.DUMMYFUNCTION("IF(REGEXMATCH(F245, ""(?:.*,\s*)?([^,]+),\s*([^,]+),\s*Philippines.*""), TRIM(REGEXREPLACE(REGEXREPLACE(F245, ""(?:.*,\s*)?([^,]+),\s*([^,]+),\s*Philippines.*"", ""$1, $2""), ""\d+"", """")), """")"),"City of Borongan, Eastern Samar")</f>
        <v>City of Borongan, Eastern Samar</v>
      </c>
    </row>
    <row r="246">
      <c r="A246" s="1" t="s">
        <v>705</v>
      </c>
      <c r="B246" s="1" t="s">
        <v>706</v>
      </c>
      <c r="C246" s="1" t="s">
        <v>13</v>
      </c>
      <c r="D246" s="1">
        <v>13.8019911</v>
      </c>
      <c r="E246" s="1">
        <v>122.0354438</v>
      </c>
      <c r="F246" s="1" t="s">
        <v>707</v>
      </c>
      <c r="G246" s="3" t="str">
        <f>IFERROR(__xludf.DUMMYFUNCTION("IF(REGEXMATCH(F246, ""(?:.*,\s*)?([^,]+),\s*([^,]+),\s*Philippines.*""), TRIM(REGEXREPLACE(REGEXREPLACE(F246, ""(?:.*,\s*)?([^,]+),\s*([^,]+),\s*Philippines.*"", ""$1, $2""), ""\d+"", """")), """")"),"Pitogo, Quezon")</f>
        <v>Pitogo, Quezon</v>
      </c>
    </row>
    <row r="247">
      <c r="A247" s="1" t="s">
        <v>708</v>
      </c>
      <c r="B247" s="1" t="s">
        <v>709</v>
      </c>
      <c r="C247" s="1" t="s">
        <v>9</v>
      </c>
      <c r="D247" s="1">
        <v>14.2551964</v>
      </c>
      <c r="E247" s="1">
        <v>121.1384144</v>
      </c>
      <c r="F247" s="1" t="s">
        <v>710</v>
      </c>
      <c r="G247" s="3" t="str">
        <f>IFERROR(__xludf.DUMMYFUNCTION("IF(REGEXMATCH(F247, ""(?:.*,\s*)?([^,]+),\s*([^,]+),\s*Philippines.*""), TRIM(REGEXREPLACE(REGEXREPLACE(F247, ""(?:.*,\s*)?([^,]+),\s*([^,]+),\s*Philippines.*"", ""$1, $2""), ""\d+"", """")), """")"),"Cabuyao City, Laguna")</f>
        <v>Cabuyao City, Laguna</v>
      </c>
    </row>
    <row r="248">
      <c r="A248" s="1" t="s">
        <v>711</v>
      </c>
      <c r="B248" s="1" t="s">
        <v>712</v>
      </c>
      <c r="C248" s="1" t="s">
        <v>13</v>
      </c>
      <c r="D248" s="1">
        <v>14.275129</v>
      </c>
      <c r="E248" s="1">
        <v>121.126703</v>
      </c>
      <c r="F248" s="1" t="s">
        <v>713</v>
      </c>
      <c r="G248" s="3" t="str">
        <f>IFERROR(__xludf.DUMMYFUNCTION("IF(REGEXMATCH(F248, ""(?:.*,\s*)?([^,]+),\s*([^,]+),\s*Philippines.*""), TRIM(REGEXREPLACE(REGEXREPLACE(F248, ""(?:.*,\s*)?([^,]+),\s*([^,]+),\s*Philippines.*"", ""$1, $2""), ""\d+"", """")), """")"),"Cabuyao City, Laguna")</f>
        <v>Cabuyao City, Laguna</v>
      </c>
    </row>
    <row r="249">
      <c r="A249" s="1" t="s">
        <v>714</v>
      </c>
      <c r="B249" s="1" t="s">
        <v>715</v>
      </c>
      <c r="C249" s="1" t="s">
        <v>13</v>
      </c>
      <c r="D249" s="1">
        <v>14.2574856</v>
      </c>
      <c r="E249" s="1">
        <v>121.8218069</v>
      </c>
      <c r="F249" s="1" t="s">
        <v>716</v>
      </c>
      <c r="G249" s="3" t="str">
        <f>IFERROR(__xludf.DUMMYFUNCTION("IF(REGEXMATCH(F249, ""(?:.*,\s*)?([^,]+),\s*([^,]+),\s*Philippines.*""), TRIM(REGEXREPLACE(REGEXREPLACE(F249, ""(?:.*,\s*)?([^,]+),\s*([^,]+),\s*Philippines.*"", ""$1, $2""), ""\d+"", """")), """")"),"Mauban, Quezon")</f>
        <v>Mauban, Quezon</v>
      </c>
    </row>
    <row r="250">
      <c r="A250" s="1" t="s">
        <v>717</v>
      </c>
      <c r="B250" s="1" t="s">
        <v>718</v>
      </c>
      <c r="C250" s="1" t="s">
        <v>13</v>
      </c>
      <c r="D250" s="1">
        <v>14.2213656</v>
      </c>
      <c r="E250" s="1">
        <v>121.7462664</v>
      </c>
      <c r="F250" s="1" t="s">
        <v>719</v>
      </c>
      <c r="G250" s="3" t="str">
        <f>IFERROR(__xludf.DUMMYFUNCTION("IF(REGEXMATCH(F250, ""(?:.*,\s*)?([^,]+),\s*([^,]+),\s*Philippines.*""), TRIM(REGEXREPLACE(REGEXREPLACE(F250, ""(?:.*,\s*)?([^,]+),\s*([^,]+),\s*Philippines.*"", ""$1, $2""), ""\d+"", """")), """")"),"Mauban, Quezon")</f>
        <v>Mauban, Quezon</v>
      </c>
    </row>
    <row r="251">
      <c r="A251" s="1" t="s">
        <v>720</v>
      </c>
      <c r="B251" s="1" t="s">
        <v>721</v>
      </c>
      <c r="C251" s="1" t="s">
        <v>13</v>
      </c>
      <c r="D251" s="1">
        <v>14.3675176</v>
      </c>
      <c r="E251" s="1">
        <v>121.6511258</v>
      </c>
      <c r="F251" s="1" t="s">
        <v>722</v>
      </c>
      <c r="G251" s="3" t="str">
        <f>IFERROR(__xludf.DUMMYFUNCTION("IF(REGEXMATCH(F251, ""(?:.*,\s*)?([^,]+),\s*([^,]+),\s*Philippines.*""), TRIM(REGEXREPLACE(REGEXREPLACE(F251, ""(?:.*,\s*)?([^,]+),\s*([^,]+),\s*Philippines.*"", ""$1, $2""), ""\d+"", """")), """")"),"Mauban, Quezon")</f>
        <v>Mauban, Quezon</v>
      </c>
    </row>
    <row r="252">
      <c r="A252" s="1" t="s">
        <v>723</v>
      </c>
      <c r="B252" s="1" t="s">
        <v>724</v>
      </c>
      <c r="C252" s="1" t="s">
        <v>13</v>
      </c>
      <c r="D252" s="1">
        <v>13.8331661</v>
      </c>
      <c r="E252" s="1">
        <v>122.0275397</v>
      </c>
      <c r="F252" s="1" t="s">
        <v>725</v>
      </c>
      <c r="G252" s="3" t="str">
        <f>IFERROR(__xludf.DUMMYFUNCTION("IF(REGEXMATCH(F252, ""(?:.*,\s*)?([^,]+),\s*([^,]+),\s*Philippines.*""), TRIM(REGEXREPLACE(REGEXREPLACE(F252, ""(?:.*,\s*)?([^,]+),\s*([^,]+),\s*Philippines.*"", ""$1, $2""), ""\d+"", """")), """")"),"Unisan, Quezon")</f>
        <v>Unisan, Quezon</v>
      </c>
    </row>
    <row r="253">
      <c r="A253" s="1" t="s">
        <v>726</v>
      </c>
      <c r="B253" s="1" t="s">
        <v>727</v>
      </c>
      <c r="C253" s="1" t="s">
        <v>9</v>
      </c>
      <c r="D253" s="1">
        <v>14.5726133</v>
      </c>
      <c r="E253" s="1">
        <v>121.1224057</v>
      </c>
      <c r="F253" s="1" t="s">
        <v>728</v>
      </c>
      <c r="G253" s="3" t="str">
        <f>IFERROR(__xludf.DUMMYFUNCTION("IF(REGEXMATCH(F253, ""(?:.*,\s*)?([^,]+),\s*([^,]+),\s*Philippines.*""), TRIM(REGEXREPLACE(REGEXREPLACE(F253, ""(?:.*,\s*)?([^,]+),\s*([^,]+),\s*Philippines.*"", ""$1, $2""), ""\d+"", """")), """")"),"Cainta, Rizal")</f>
        <v>Cainta, Rizal</v>
      </c>
    </row>
    <row r="254">
      <c r="A254" s="1" t="s">
        <v>729</v>
      </c>
      <c r="B254" s="1" t="s">
        <v>730</v>
      </c>
      <c r="C254" s="1" t="s">
        <v>9</v>
      </c>
      <c r="D254" s="1">
        <v>13.9400023</v>
      </c>
      <c r="E254" s="1">
        <v>120.8174098</v>
      </c>
      <c r="F254" s="1" t="s">
        <v>731</v>
      </c>
      <c r="G254" s="3" t="str">
        <f>IFERROR(__xludf.DUMMYFUNCTION("IF(REGEXMATCH(F254, ""(?:.*,\s*)?([^,]+),\s*([^,]+),\s*Philippines.*""), TRIM(REGEXREPLACE(REGEXREPLACE(F254, ""(?:.*,\s*)?([^,]+),\s*([^,]+),\s*Philippines.*"", ""$1, $2""), ""\d+"", """")), """")"),"Calaca, Batangas")</f>
        <v>Calaca, Batangas</v>
      </c>
    </row>
    <row r="255">
      <c r="A255" s="1" t="s">
        <v>732</v>
      </c>
      <c r="B255" s="1" t="s">
        <v>733</v>
      </c>
      <c r="C255" s="1" t="s">
        <v>13</v>
      </c>
      <c r="D255" s="1">
        <v>14.2156165</v>
      </c>
      <c r="E255" s="1">
        <v>121.186161</v>
      </c>
      <c r="F255" s="1" t="s">
        <v>734</v>
      </c>
      <c r="G255" s="3" t="str">
        <f>IFERROR(__xludf.DUMMYFUNCTION("IF(REGEXMATCH(F255, ""(?:.*,\s*)?([^,]+),\s*([^,]+),\s*Philippines.*""), TRIM(REGEXREPLACE(REGEXREPLACE(F255, ""(?:.*,\s*)?([^,]+),\s*([^,]+),\s*Philippines.*"", ""$1, $2""), ""\d+"", """")), """")"),"Calamba, Laguna")</f>
        <v>Calamba, Laguna</v>
      </c>
    </row>
    <row r="256">
      <c r="A256" s="1" t="s">
        <v>735</v>
      </c>
      <c r="B256" s="1" t="s">
        <v>736</v>
      </c>
      <c r="C256" s="1" t="s">
        <v>13</v>
      </c>
      <c r="D256" s="1">
        <v>14.2076319</v>
      </c>
      <c r="E256" s="1">
        <v>121.1625367</v>
      </c>
      <c r="F256" s="1" t="s">
        <v>737</v>
      </c>
      <c r="G256" s="3" t="str">
        <f>IFERROR(__xludf.DUMMYFUNCTION("IF(REGEXMATCH(F256, ""(?:.*,\s*)?([^,]+),\s*([^,]+),\s*Philippines.*""), TRIM(REGEXREPLACE(REGEXREPLACE(F256, ""(?:.*,\s*)?([^,]+),\s*([^,]+),\s*Philippines.*"", ""$1, $2""), ""\d+"", """")), """")"),"Calamba, Laguna")</f>
        <v>Calamba, Laguna</v>
      </c>
    </row>
    <row r="257">
      <c r="A257" s="1" t="s">
        <v>738</v>
      </c>
      <c r="B257" s="1" t="s">
        <v>739</v>
      </c>
      <c r="C257" s="1" t="s">
        <v>13</v>
      </c>
      <c r="D257" s="1">
        <v>14.2073689</v>
      </c>
      <c r="E257" s="1">
        <v>121.1622332</v>
      </c>
      <c r="F257" s="1" t="s">
        <v>737</v>
      </c>
      <c r="G257" s="3" t="str">
        <f>IFERROR(__xludf.DUMMYFUNCTION("IF(REGEXMATCH(F257, ""(?:.*,\s*)?([^,]+),\s*([^,]+),\s*Philippines.*""), TRIM(REGEXREPLACE(REGEXREPLACE(F257, ""(?:.*,\s*)?([^,]+),\s*([^,]+),\s*Philippines.*"", ""$1, $2""), ""\d+"", """")), """")"),"Calamba, Laguna")</f>
        <v>Calamba, Laguna</v>
      </c>
    </row>
    <row r="258">
      <c r="A258" s="1" t="s">
        <v>740</v>
      </c>
      <c r="B258" s="1" t="s">
        <v>741</v>
      </c>
      <c r="C258" s="1" t="s">
        <v>9</v>
      </c>
      <c r="D258" s="1">
        <v>14.208536</v>
      </c>
      <c r="E258" s="1">
        <v>121.1610876</v>
      </c>
      <c r="F258" s="1" t="s">
        <v>742</v>
      </c>
      <c r="G258" s="3" t="str">
        <f>IFERROR(__xludf.DUMMYFUNCTION("IF(REGEXMATCH(F258, ""(?:.*,\s*)?([^,]+),\s*([^,]+),\s*Philippines.*""), TRIM(REGEXREPLACE(REGEXREPLACE(F258, ""(?:.*,\s*)?([^,]+),\s*([^,]+),\s*Philippines.*"", ""$1, $2""), ""\d+"", """")), """")"),"Calamba, Laguna")</f>
        <v>Calamba, Laguna</v>
      </c>
    </row>
    <row r="259">
      <c r="A259" s="1" t="s">
        <v>743</v>
      </c>
      <c r="B259" s="1" t="s">
        <v>744</v>
      </c>
      <c r="C259" s="1" t="s">
        <v>9</v>
      </c>
      <c r="D259" s="1">
        <v>14.2162461</v>
      </c>
      <c r="E259" s="1">
        <v>121.1433805</v>
      </c>
      <c r="F259" s="1" t="s">
        <v>745</v>
      </c>
      <c r="G259" s="3" t="str">
        <f>IFERROR(__xludf.DUMMYFUNCTION("IF(REGEXMATCH(F259, ""(?:.*,\s*)?([^,]+),\s*([^,]+),\s*Philippines.*""), TRIM(REGEXREPLACE(REGEXREPLACE(F259, ""(?:.*,\s*)?([^,]+),\s*([^,]+),\s*Philippines.*"", ""$1, $2""), ""\d+"", """")), """")"),"Calamba, Laguna")</f>
        <v>Calamba, Laguna</v>
      </c>
    </row>
    <row r="260">
      <c r="A260" s="1" t="s">
        <v>746</v>
      </c>
      <c r="B260" s="1" t="s">
        <v>747</v>
      </c>
      <c r="C260" s="1" t="s">
        <v>13</v>
      </c>
      <c r="D260" s="1">
        <v>14.2200353</v>
      </c>
      <c r="E260" s="1">
        <v>121.1646359</v>
      </c>
      <c r="F260" s="1" t="s">
        <v>748</v>
      </c>
      <c r="G260" s="3" t="str">
        <f>IFERROR(__xludf.DUMMYFUNCTION("IF(REGEXMATCH(F260, ""(?:.*,\s*)?([^,]+),\s*([^,]+),\s*Philippines.*""), TRIM(REGEXREPLACE(REGEXREPLACE(F260, ""(?:.*,\s*)?([^,]+),\s*([^,]+),\s*Philippines.*"", ""$1, $2""), ""\d+"", """")), """")"),"Calamba, Laguna")</f>
        <v>Calamba, Laguna</v>
      </c>
    </row>
    <row r="261">
      <c r="A261" s="1" t="s">
        <v>749</v>
      </c>
      <c r="B261" s="1" t="s">
        <v>750</v>
      </c>
      <c r="C261" s="1" t="s">
        <v>13</v>
      </c>
      <c r="D261" s="1">
        <v>13.9186506</v>
      </c>
      <c r="E261" s="1">
        <v>120.9424541</v>
      </c>
      <c r="F261" s="1" t="s">
        <v>751</v>
      </c>
      <c r="G261" s="3" t="str">
        <f>IFERROR(__xludf.DUMMYFUNCTION("IF(REGEXMATCH(F261, ""(?:.*,\s*)?([^,]+),\s*([^,]+),\s*Philippines.*""), TRIM(REGEXREPLACE(REGEXREPLACE(F261, ""(?:.*,\s*)?([^,]+),\s*([^,]+),\s*Philippines.*"", ""$1, $2""), ""\d+"", """")), """")"),"San Nicolas, Batangas")</f>
        <v>San Nicolas, Batangas</v>
      </c>
    </row>
    <row r="262">
      <c r="A262" s="1" t="s">
        <v>752</v>
      </c>
      <c r="B262" s="1" t="s">
        <v>753</v>
      </c>
      <c r="C262" s="1" t="s">
        <v>13</v>
      </c>
      <c r="D262" s="1">
        <v>15.0133206</v>
      </c>
      <c r="E262" s="1">
        <v>120.5120766</v>
      </c>
      <c r="F262" s="1" t="s">
        <v>754</v>
      </c>
      <c r="G262" s="3" t="str">
        <f>IFERROR(__xludf.DUMMYFUNCTION("IF(REGEXMATCH(F262, ""(?:.*,\s*)?([^,]+),\s*([^,]+),\s*Philippines.*""), TRIM(REGEXREPLACE(REGEXREPLACE(F262, ""(?:.*,\s*)?([^,]+),\s*([^,]+),\s*Philippines.*"", ""$1, $2""), ""\d+"", """")), """")"),"Floridablanca, Pampanga")</f>
        <v>Floridablanca, Pampanga</v>
      </c>
    </row>
    <row r="263">
      <c r="A263" s="1" t="s">
        <v>755</v>
      </c>
      <c r="B263" s="1" t="s">
        <v>756</v>
      </c>
      <c r="C263" s="1" t="s">
        <v>9</v>
      </c>
      <c r="D263" s="1">
        <v>13.7379949</v>
      </c>
      <c r="E263" s="1">
        <v>121.3038992</v>
      </c>
      <c r="F263" s="1" t="s">
        <v>757</v>
      </c>
      <c r="G263" s="3" t="str">
        <f>IFERROR(__xludf.DUMMYFUNCTION("IF(REGEXMATCH(F263, ""(?:.*,\s*)?([^,]+),\s*([^,]+),\s*Philippines.*""), TRIM(REGEXREPLACE(REGEXREPLACE(F263, ""(?:.*,\s*)?([^,]+),\s*([^,]+),\s*Philippines.*"", ""$1, $2""), ""\d+"", """")), """")"),"Rosario, Batangas")</f>
        <v>Rosario, Batangas</v>
      </c>
    </row>
    <row r="264">
      <c r="A264" s="1" t="s">
        <v>758</v>
      </c>
      <c r="B264" s="1" t="s">
        <v>759</v>
      </c>
      <c r="C264" s="1" t="s">
        <v>13</v>
      </c>
      <c r="D264" s="1">
        <v>14.9066777</v>
      </c>
      <c r="E264" s="1">
        <v>121.8619539</v>
      </c>
      <c r="F264" s="1" t="s">
        <v>760</v>
      </c>
      <c r="G264" s="3" t="str">
        <f>IFERROR(__xludf.DUMMYFUNCTION("IF(REGEXMATCH(F264, ""(?:.*,\s*)?([^,]+),\s*([^,]+),\s*Philippines.*""), TRIM(REGEXREPLACE(REGEXREPLACE(F264, ""(?:.*,\s*)?([^,]+),\s*([^,]+),\s*Philippines.*"", ""$1, $2""), ""\d+"", """")), """")"),"Panukulan, Quezon")</f>
        <v>Panukulan, Quezon</v>
      </c>
    </row>
    <row r="265">
      <c r="A265" s="1" t="s">
        <v>761</v>
      </c>
      <c r="B265" s="1" t="s">
        <v>762</v>
      </c>
      <c r="C265" s="1" t="s">
        <v>9</v>
      </c>
      <c r="D265" s="1">
        <v>13.8332571</v>
      </c>
      <c r="E265" s="1">
        <v>120.6301304</v>
      </c>
      <c r="F265" s="1" t="s">
        <v>763</v>
      </c>
      <c r="G265" s="3" t="str">
        <f>IFERROR(__xludf.DUMMYFUNCTION("IF(REGEXMATCH(F265, ""(?:.*,\s*)?([^,]+),\s*([^,]+),\s*Philippines.*""), TRIM(REGEXREPLACE(REGEXREPLACE(F265, ""(?:.*,\s*)?([^,]+),\s*([^,]+),\s*Philippines.*"", ""$1, $2""), ""\d+"", """")), """")"),"Calatagan, Batangas")</f>
        <v>Calatagan, Batangas</v>
      </c>
    </row>
    <row r="266">
      <c r="A266" s="1" t="s">
        <v>764</v>
      </c>
      <c r="B266" s="1" t="s">
        <v>765</v>
      </c>
      <c r="C266" s="1" t="s">
        <v>766</v>
      </c>
      <c r="D266" s="1">
        <v>14.1157163</v>
      </c>
      <c r="E266" s="1">
        <v>122.2427</v>
      </c>
      <c r="F266" s="1" t="s">
        <v>767</v>
      </c>
      <c r="G266" s="3" t="str">
        <f>IFERROR(__xludf.DUMMYFUNCTION("IF(REGEXMATCH(F266, ""(?:.*,\s*)?([^,]+),\s*([^,]+),\s*Philippines.*""), TRIM(REGEXREPLACE(REGEXREPLACE(F266, ""(?:.*,\s*)?([^,]+),\s*([^,]+),\s*Philippines.*"", ""$1, $2""), ""\d+"", """")), """")"),"Calauag, Quezon")</f>
        <v>Calauag, Quezon</v>
      </c>
    </row>
    <row r="267">
      <c r="A267" s="1" t="s">
        <v>768</v>
      </c>
      <c r="B267" s="1" t="s">
        <v>769</v>
      </c>
      <c r="C267" s="1" t="s">
        <v>766</v>
      </c>
      <c r="D267" s="1">
        <v>14.1157163</v>
      </c>
      <c r="E267" s="1">
        <v>122.2427</v>
      </c>
      <c r="F267" s="1" t="s">
        <v>767</v>
      </c>
      <c r="G267" s="3" t="str">
        <f>IFERROR(__xludf.DUMMYFUNCTION("IF(REGEXMATCH(F267, ""(?:.*,\s*)?([^,]+),\s*([^,]+),\s*Philippines.*""), TRIM(REGEXREPLACE(REGEXREPLACE(F267, ""(?:.*,\s*)?([^,]+),\s*([^,]+),\s*Philippines.*"", ""$1, $2""), ""\d+"", """")), """")"),"Calauag, Quezon")</f>
        <v>Calauag, Quezon</v>
      </c>
    </row>
    <row r="268">
      <c r="A268" s="1" t="s">
        <v>770</v>
      </c>
      <c r="B268" s="1" t="s">
        <v>771</v>
      </c>
      <c r="C268" s="1" t="s">
        <v>13</v>
      </c>
      <c r="D268" s="1">
        <v>14.7952348</v>
      </c>
      <c r="E268" s="1">
        <v>120.94591</v>
      </c>
      <c r="F268" s="1" t="s">
        <v>772</v>
      </c>
      <c r="G268" s="3" t="str">
        <f>IFERROR(__xludf.DUMMYFUNCTION("IF(REGEXMATCH(F268, ""(?:.*,\s*)?([^,]+),\s*([^,]+),\s*Philippines.*""), TRIM(REGEXREPLACE(REGEXREPLACE(F268, ""(?:.*,\s*)?([^,]+),\s*([^,]+),\s*Philippines.*"", ""$1, $2""), ""\d+"", """")), """")"),"Santa Maria, Bulacan")</f>
        <v>Santa Maria, Bulacan</v>
      </c>
    </row>
    <row r="269">
      <c r="A269" s="1" t="s">
        <v>773</v>
      </c>
      <c r="B269" s="1" t="s">
        <v>774</v>
      </c>
      <c r="C269" s="1" t="s">
        <v>9</v>
      </c>
      <c r="D269" s="1">
        <v>14.1661028</v>
      </c>
      <c r="E269" s="1">
        <v>121.3347805</v>
      </c>
      <c r="F269" s="1" t="s">
        <v>775</v>
      </c>
      <c r="G269" s="3" t="str">
        <f>IFERROR(__xludf.DUMMYFUNCTION("IF(REGEXMATCH(F269, ""(?:.*,\s*)?([^,]+),\s*([^,]+),\s*Philippines.*""), TRIM(REGEXREPLACE(REGEXREPLACE(F269, ""(?:.*,\s*)?([^,]+),\s*([^,]+),\s*Philippines.*"", ""$1, $2""), ""\d+"", """")), """")"),"Calauan, Laguna")</f>
        <v>Calauan, Laguna</v>
      </c>
    </row>
    <row r="270">
      <c r="A270" s="1" t="s">
        <v>776</v>
      </c>
      <c r="B270" s="1" t="s">
        <v>777</v>
      </c>
      <c r="C270" s="1" t="s">
        <v>13</v>
      </c>
      <c r="D270" s="1">
        <v>14.6851389</v>
      </c>
      <c r="E270" s="1">
        <v>121.2434444</v>
      </c>
      <c r="F270" s="1" t="s">
        <v>778</v>
      </c>
      <c r="G270" s="3" t="str">
        <f>IFERROR(__xludf.DUMMYFUNCTION("IF(REGEXMATCH(F270, ""(?:.*,\s*)?([^,]+),\s*([^,]+),\s*Philippines.*""), TRIM(REGEXREPLACE(REGEXREPLACE(F270, ""(?:.*,\s*)?([^,]+),\s*([^,]+),\s*Philippines.*"", ""$1, $2""), ""\d+"", """")), """")"),"Mandaluyong City, Metro Manila")</f>
        <v>Mandaluyong City, Metro Manila</v>
      </c>
    </row>
    <row r="271">
      <c r="A271" s="1" t="s">
        <v>779</v>
      </c>
      <c r="B271" s="1" t="s">
        <v>780</v>
      </c>
      <c r="C271" s="1" t="s">
        <v>622</v>
      </c>
      <c r="D271" s="1">
        <v>12.879721</v>
      </c>
      <c r="E271" s="1">
        <v>121.774017</v>
      </c>
      <c r="F271" s="1" t="s">
        <v>47</v>
      </c>
      <c r="G271" s="3" t="str">
        <f>IFERROR(__xludf.DUMMYFUNCTION("IF(REGEXMATCH(F271, ""(?:.*,\s*)?([^,]+),\s*([^,]+),\s*Philippines.*""), TRIM(REGEXREPLACE(REGEXREPLACE(F271, ""(?:.*,\s*)?([^,]+),\s*([^,]+),\s*Philippines.*"", ""$1, $2""), ""\d+"", """")), """")"),"")</f>
        <v/>
      </c>
    </row>
    <row r="272">
      <c r="A272" s="1" t="s">
        <v>781</v>
      </c>
      <c r="B272" s="1" t="s">
        <v>782</v>
      </c>
      <c r="C272" s="1" t="s">
        <v>13</v>
      </c>
      <c r="D272" s="1">
        <v>13.8753429</v>
      </c>
      <c r="E272" s="1">
        <v>121.3455856</v>
      </c>
      <c r="F272" s="1" t="s">
        <v>783</v>
      </c>
      <c r="G272" s="3" t="str">
        <f>IFERROR(__xludf.DUMMYFUNCTION("IF(REGEXMATCH(F272, ""(?:.*,\s*)?([^,]+),\s*([^,]+),\s*Philippines.*""), TRIM(REGEXREPLACE(REGEXREPLACE(F272, ""(?:.*,\s*)?([^,]+),\s*([^,]+),\s*Philippines.*"", ""$1, $2""), ""\d+"", """")), """")"),"San Antonio, Quezon")</f>
        <v>San Antonio, Quezon</v>
      </c>
    </row>
    <row r="273">
      <c r="A273" s="1" t="s">
        <v>784</v>
      </c>
      <c r="B273" s="1" t="s">
        <v>785</v>
      </c>
      <c r="C273" s="1" t="s">
        <v>13</v>
      </c>
      <c r="D273" s="1">
        <v>12.879721</v>
      </c>
      <c r="E273" s="1">
        <v>121.774017</v>
      </c>
      <c r="F273" s="1" t="s">
        <v>47</v>
      </c>
      <c r="G273" s="3" t="str">
        <f>IFERROR(__xludf.DUMMYFUNCTION("IF(REGEXMATCH(F273, ""(?:.*,\s*)?([^,]+),\s*([^,]+),\s*Philippines.*""), TRIM(REGEXREPLACE(REGEXREPLACE(F273, ""(?:.*,\s*)?([^,]+),\s*([^,]+),\s*Philippines.*"", ""$1, $2""), ""\d+"", """")), """")"),"")</f>
        <v/>
      </c>
    </row>
    <row r="274">
      <c r="A274" s="1" t="s">
        <v>786</v>
      </c>
      <c r="B274" s="1" t="s">
        <v>787</v>
      </c>
      <c r="C274" s="1" t="s">
        <v>9</v>
      </c>
      <c r="D274" s="1">
        <v>13.7517933</v>
      </c>
      <c r="E274" s="1">
        <v>121.4215844</v>
      </c>
      <c r="F274" s="1" t="s">
        <v>788</v>
      </c>
      <c r="G274" s="3" t="str">
        <f>IFERROR(__xludf.DUMMYFUNCTION("IF(REGEXMATCH(F274, ""(?:.*,\s*)?([^,]+),\s*([^,]+),\s*Philippines.*""), TRIM(REGEXREPLACE(REGEXREPLACE(F274, ""(?:.*,\s*)?([^,]+),\s*([^,]+),\s*Philippines.*"", ""$1, $2""), ""\d+"", """")), """")"),"San Juan, Batangas")</f>
        <v>San Juan, Batangas</v>
      </c>
    </row>
    <row r="275">
      <c r="A275" s="1" t="s">
        <v>789</v>
      </c>
      <c r="B275" s="1" t="s">
        <v>790</v>
      </c>
      <c r="C275" s="1" t="s">
        <v>13</v>
      </c>
      <c r="D275" s="1">
        <v>14.2105183</v>
      </c>
      <c r="E275" s="1">
        <v>120.8699908</v>
      </c>
      <c r="F275" s="1" t="s">
        <v>791</v>
      </c>
      <c r="G275" s="3" t="str">
        <f>IFERROR(__xludf.DUMMYFUNCTION("IF(REGEXMATCH(F275, ""(?:.*,\s*)?([^,]+),\s*([^,]+),\s*Philippines.*""), TRIM(REGEXREPLACE(REGEXREPLACE(F275, ""(?:.*,\s*)?([^,]+),\s*([^,]+),\s*Philippines.*"", ""$1, $2""), ""\d+"", """")), """")"),"Indang, Cavite")</f>
        <v>Indang, Cavite</v>
      </c>
    </row>
    <row r="276">
      <c r="A276" s="1" t="s">
        <v>792</v>
      </c>
      <c r="B276" s="1" t="s">
        <v>793</v>
      </c>
      <c r="C276" s="1" t="s">
        <v>13</v>
      </c>
      <c r="D276" s="1">
        <v>10.7756095</v>
      </c>
      <c r="E276" s="1">
        <v>122.539749</v>
      </c>
      <c r="F276" s="1" t="s">
        <v>794</v>
      </c>
      <c r="G276" s="3" t="str">
        <f>IFERROR(__xludf.DUMMYFUNCTION("IF(REGEXMATCH(F276, ""(?:.*,\s*)?([^,]+),\s*([^,]+),\s*Philippines.*""), TRIM(REGEXREPLACE(REGEXREPLACE(F276, ""(?:.*,\s*)?([^,]+),\s*([^,]+),\s*Philippines.*"", ""$1, $2""), ""\d+"", """")), """")"),"Pavia, Iloilo")</f>
        <v>Pavia, Iloilo</v>
      </c>
    </row>
    <row r="277">
      <c r="A277" s="1" t="s">
        <v>795</v>
      </c>
      <c r="B277" s="1" t="s">
        <v>796</v>
      </c>
      <c r="C277" s="1" t="s">
        <v>13</v>
      </c>
      <c r="D277" s="1">
        <v>14.2155683</v>
      </c>
      <c r="E277" s="1">
        <v>121.1231111</v>
      </c>
      <c r="F277" s="1" t="s">
        <v>797</v>
      </c>
      <c r="G277" s="3" t="str">
        <f>IFERROR(__xludf.DUMMYFUNCTION("IF(REGEXMATCH(F277, ""(?:.*,\s*)?([^,]+),\s*([^,]+),\s*Philippines.*""), TRIM(REGEXREPLACE(REGEXREPLACE(F277, ""(?:.*,\s*)?([^,]+),\s*([^,]+),\s*Philippines.*"", ""$1, $2""), ""\d+"", """")), """")"),"Calamba, Laguna")</f>
        <v>Calamba, Laguna</v>
      </c>
    </row>
    <row r="278">
      <c r="A278" s="1" t="s">
        <v>798</v>
      </c>
      <c r="B278" s="1" t="s">
        <v>799</v>
      </c>
      <c r="C278" s="1" t="s">
        <v>13</v>
      </c>
      <c r="D278" s="1">
        <v>18.20141</v>
      </c>
      <c r="E278" s="1">
        <v>121.662772</v>
      </c>
      <c r="F278" s="1" t="s">
        <v>800</v>
      </c>
      <c r="G278" s="3" t="str">
        <f>IFERROR(__xludf.DUMMYFUNCTION("IF(REGEXMATCH(F278, ""(?:.*,\s*)?([^,]+),\s*([^,]+),\s*Philippines.*""), TRIM(REGEXREPLACE(REGEXREPLACE(F278, ""(?:.*,\s*)?([^,]+),\s*([^,]+),\s*Philippines.*"", ""$1, $2""), ""\d+"", """")), """")"),"Lal-lo, Cagayan")</f>
        <v>Lal-lo, Cagayan</v>
      </c>
    </row>
    <row r="279">
      <c r="A279" s="1" t="s">
        <v>801</v>
      </c>
      <c r="B279" s="1" t="s">
        <v>802</v>
      </c>
      <c r="C279" s="1" t="s">
        <v>13</v>
      </c>
      <c r="D279" s="1">
        <v>14.2028283</v>
      </c>
      <c r="E279" s="1">
        <v>121.055959</v>
      </c>
      <c r="F279" s="1" t="s">
        <v>803</v>
      </c>
      <c r="G279" s="3" t="str">
        <f>IFERROR(__xludf.DUMMYFUNCTION("IF(REGEXMATCH(F279, ""(?:.*,\s*)?([^,]+),\s*([^,]+),\s*Philippines.*""), TRIM(REGEXREPLACE(REGEXREPLACE(F279, ""(?:.*,\s*)?([^,]+),\s*([^,]+),\s*Philippines.*"", ""$1, $2""), ""\d+"", """")), """")"),"Calamba, Laguna")</f>
        <v>Calamba, Laguna</v>
      </c>
    </row>
    <row r="280">
      <c r="A280" s="1" t="s">
        <v>804</v>
      </c>
      <c r="B280" s="1" t="s">
        <v>805</v>
      </c>
      <c r="C280" s="1" t="s">
        <v>9</v>
      </c>
      <c r="D280" s="1">
        <v>13.9468669</v>
      </c>
      <c r="E280" s="1">
        <v>121.1470031</v>
      </c>
      <c r="F280" s="1" t="s">
        <v>806</v>
      </c>
      <c r="G280" s="3" t="str">
        <f>IFERROR(__xludf.DUMMYFUNCTION("IF(REGEXMATCH(F280, ""(?:.*,\s*)?([^,]+),\s*([^,]+),\s*Philippines.*""), TRIM(REGEXREPLACE(REGEXREPLACE(F280, ""(?:.*,\s*)?([^,]+),\s*([^,]+),\s*Philippines.*"", ""$1, $2""), ""\d+"", """")), """")"),"Lipa City, Batangas")</f>
        <v>Lipa City, Batangas</v>
      </c>
    </row>
    <row r="281">
      <c r="A281" s="1" t="s">
        <v>807</v>
      </c>
      <c r="B281" s="1" t="s">
        <v>808</v>
      </c>
      <c r="C281" s="1" t="s">
        <v>9</v>
      </c>
      <c r="D281" s="1">
        <v>14.0771471</v>
      </c>
      <c r="E281" s="1">
        <v>121.3221388</v>
      </c>
      <c r="F281" s="1" t="s">
        <v>809</v>
      </c>
      <c r="G281" s="3" t="str">
        <f>IFERROR(__xludf.DUMMYFUNCTION("IF(REGEXMATCH(F281, ""(?:.*,\s*)?([^,]+),\s*([^,]+),\s*Philippines.*""), TRIM(REGEXREPLACE(REGEXREPLACE(F281, ""(?:.*,\s*)?([^,]+),\s*([^,]+),\s*Philippines.*"", ""$1, $2""), ""\d+"", """")), """")"),"San Pablo, Laguna")</f>
        <v>San Pablo, Laguna</v>
      </c>
    </row>
    <row r="282">
      <c r="A282" s="1" t="s">
        <v>810</v>
      </c>
      <c r="B282" s="1" t="s">
        <v>811</v>
      </c>
      <c r="C282" s="1" t="s">
        <v>13</v>
      </c>
      <c r="D282" s="1">
        <v>14.7113035</v>
      </c>
      <c r="E282" s="1">
        <v>120.9840996</v>
      </c>
      <c r="F282" s="1" t="s">
        <v>812</v>
      </c>
      <c r="G282" s="3" t="str">
        <f>IFERROR(__xludf.DUMMYFUNCTION("IF(REGEXMATCH(F282, ""(?:.*,\s*)?([^,]+),\s*([^,]+),\s*Philippines.*""), TRIM(REGEXREPLACE(REGEXREPLACE(F282, ""(?:.*,\s*)?([^,]+),\s*([^,]+),\s*Philippines.*"", ""$1, $2""), ""\d+"", """")), """")"),"Valenzuela, Metro Manila")</f>
        <v>Valenzuela, Metro Manila</v>
      </c>
    </row>
    <row r="283">
      <c r="A283" s="1" t="s">
        <v>813</v>
      </c>
      <c r="B283" s="1" t="s">
        <v>814</v>
      </c>
      <c r="C283" s="1" t="s">
        <v>9</v>
      </c>
      <c r="D283" s="1">
        <v>14.0737259</v>
      </c>
      <c r="E283" s="1">
        <v>121.316432</v>
      </c>
      <c r="F283" s="1" t="s">
        <v>815</v>
      </c>
      <c r="G283" s="3" t="str">
        <f>IFERROR(__xludf.DUMMYFUNCTION("IF(REGEXMATCH(F283, ""(?:.*,\s*)?([^,]+),\s*([^,]+),\s*Philippines.*""), TRIM(REGEXREPLACE(REGEXREPLACE(F283, ""(?:.*,\s*)?([^,]+),\s*([^,]+),\s*Philippines.*"", ""$1, $2""), ""\d+"", """")), """")"),"San Pablo City, Laguna")</f>
        <v>San Pablo City, Laguna</v>
      </c>
    </row>
    <row r="284">
      <c r="A284" s="1" t="s">
        <v>816</v>
      </c>
      <c r="B284" s="1" t="s">
        <v>817</v>
      </c>
      <c r="C284" s="1" t="s">
        <v>9</v>
      </c>
      <c r="D284" s="1">
        <v>14.1298528</v>
      </c>
      <c r="E284" s="1">
        <v>121.2600069</v>
      </c>
      <c r="F284" s="1" t="s">
        <v>818</v>
      </c>
      <c r="G284" s="3" t="str">
        <f>IFERROR(__xludf.DUMMYFUNCTION("IF(REGEXMATCH(F284, ""(?:.*,\s*)?([^,]+),\s*([^,]+),\s*Philippines.*""), TRIM(REGEXREPLACE(REGEXREPLACE(F284, ""(?:.*,\s*)?([^,]+),\s*([^,]+),\s*Philippines.*"", ""$1, $2""), ""\d+"", """")), """")"),"Bay, Laguna")</f>
        <v>Bay, Laguna</v>
      </c>
    </row>
    <row r="285">
      <c r="A285" s="1" t="s">
        <v>819</v>
      </c>
      <c r="B285" s="1" t="s">
        <v>820</v>
      </c>
      <c r="C285" s="1" t="s">
        <v>9</v>
      </c>
      <c r="D285" s="1">
        <v>14.1298528</v>
      </c>
      <c r="E285" s="1">
        <v>121.2600069</v>
      </c>
      <c r="F285" s="1" t="s">
        <v>818</v>
      </c>
      <c r="G285" s="3" t="str">
        <f>IFERROR(__xludf.DUMMYFUNCTION("IF(REGEXMATCH(F285, ""(?:.*,\s*)?([^,]+),\s*([^,]+),\s*Philippines.*""), TRIM(REGEXREPLACE(REGEXREPLACE(F285, ""(?:.*,\s*)?([^,]+),\s*([^,]+),\s*Philippines.*"", ""$1, $2""), ""\d+"", """")), """")"),"Bay, Laguna")</f>
        <v>Bay, Laguna</v>
      </c>
    </row>
    <row r="286">
      <c r="A286" s="1" t="s">
        <v>821</v>
      </c>
      <c r="B286" s="1" t="s">
        <v>822</v>
      </c>
      <c r="C286" s="1" t="s">
        <v>9</v>
      </c>
      <c r="D286" s="1">
        <v>14.4829606</v>
      </c>
      <c r="E286" s="1">
        <v>121.2332538</v>
      </c>
      <c r="F286" s="1" t="s">
        <v>823</v>
      </c>
      <c r="G286" s="3" t="str">
        <f>IFERROR(__xludf.DUMMYFUNCTION("IF(REGEXMATCH(F286, ""(?:.*,\s*)?([^,]+),\s*([^,]+),\s*Philippines.*""), TRIM(REGEXREPLACE(REGEXREPLACE(F286, ""(?:.*,\s*)?([^,]+),\s*([^,]+),\s*Philippines.*"", ""$1, $2""), ""\d+"", """")), """")"),"Cardona, Rizal")</f>
        <v>Cardona, Rizal</v>
      </c>
    </row>
    <row r="287">
      <c r="A287" s="1" t="s">
        <v>824</v>
      </c>
      <c r="B287" s="1" t="s">
        <v>825</v>
      </c>
      <c r="C287" s="1" t="s">
        <v>13</v>
      </c>
      <c r="D287" s="1">
        <v>12.879721</v>
      </c>
      <c r="E287" s="1">
        <v>121.774017</v>
      </c>
      <c r="F287" s="1" t="s">
        <v>47</v>
      </c>
      <c r="G287" s="3" t="str">
        <f>IFERROR(__xludf.DUMMYFUNCTION("IF(REGEXMATCH(F287, ""(?:.*,\s*)?([^,]+),\s*([^,]+),\s*Philippines.*""), TRIM(REGEXREPLACE(REGEXREPLACE(F287, ""(?:.*,\s*)?([^,]+),\s*([^,]+),\s*Philippines.*"", ""$1, $2""), ""\d+"", """")), """")"),"")</f>
        <v/>
      </c>
    </row>
    <row r="288">
      <c r="A288" s="1" t="s">
        <v>826</v>
      </c>
      <c r="B288" s="1" t="s">
        <v>827</v>
      </c>
      <c r="C288" s="1" t="s">
        <v>13</v>
      </c>
      <c r="D288" s="1">
        <v>9.8218318</v>
      </c>
      <c r="E288" s="1">
        <v>123.5485772</v>
      </c>
      <c r="F288" s="1" t="s">
        <v>828</v>
      </c>
      <c r="G288" s="3" t="str">
        <f>IFERROR(__xludf.DUMMYFUNCTION("IF(REGEXMATCH(F288, ""(?:.*,\s*)?([^,]+),\s*([^,]+),\s*Philippines.*""), TRIM(REGEXREPLACE(REGEXREPLACE(F288, ""(?:.*,\s*)?([^,]+),\s*([^,]+),\s*Philippines.*"", ""$1, $2""), ""\d+"", """")), """")"),"Dalaguete, Cebu")</f>
        <v>Dalaguete, Cebu</v>
      </c>
    </row>
    <row r="289">
      <c r="A289" s="1" t="s">
        <v>829</v>
      </c>
      <c r="B289" s="1" t="s">
        <v>830</v>
      </c>
      <c r="C289" s="1" t="s">
        <v>13</v>
      </c>
      <c r="D289" s="1">
        <v>14.1699734</v>
      </c>
      <c r="E289" s="1">
        <v>121.0192557</v>
      </c>
      <c r="F289" s="1" t="s">
        <v>831</v>
      </c>
      <c r="G289" s="3" t="str">
        <f>IFERROR(__xludf.DUMMYFUNCTION("IF(REGEXMATCH(F289, ""(?:.*,\s*)?([^,]+),\s*([^,]+),\s*Philippines.*""), TRIM(REGEXREPLACE(REGEXREPLACE(F289, ""(?:.*,\s*)?([^,]+),\s*([^,]+),\s*Philippines.*"", ""$1, $2""), ""\d+"", """")), """")"),"Cabuyao City, Laguna")</f>
        <v>Cabuyao City, Laguna</v>
      </c>
    </row>
    <row r="290">
      <c r="A290" s="1" t="s">
        <v>832</v>
      </c>
      <c r="B290" s="1" t="s">
        <v>833</v>
      </c>
      <c r="C290" s="1" t="s">
        <v>13</v>
      </c>
      <c r="D290" s="1">
        <v>12.879721</v>
      </c>
      <c r="E290" s="1">
        <v>121.774017</v>
      </c>
      <c r="F290" s="1" t="s">
        <v>47</v>
      </c>
      <c r="G290" s="3" t="str">
        <f>IFERROR(__xludf.DUMMYFUNCTION("IF(REGEXMATCH(F290, ""(?:.*,\s*)?([^,]+),\s*([^,]+),\s*Philippines.*""), TRIM(REGEXREPLACE(REGEXREPLACE(F290, ""(?:.*,\s*)?([^,]+),\s*([^,]+),\s*Philippines.*"", ""$1, $2""), ""\d+"", """")), """")"),"")</f>
        <v/>
      </c>
    </row>
    <row r="291">
      <c r="A291" s="1" t="s">
        <v>834</v>
      </c>
      <c r="B291" s="1" t="s">
        <v>835</v>
      </c>
      <c r="C291" s="1" t="s">
        <v>13</v>
      </c>
      <c r="D291" s="1">
        <v>14.4029077</v>
      </c>
      <c r="E291" s="1">
        <v>121.2296374</v>
      </c>
      <c r="F291" s="1" t="s">
        <v>836</v>
      </c>
      <c r="G291" s="3" t="str">
        <f>IFERROR(__xludf.DUMMYFUNCTION("IF(REGEXMATCH(F291, ""(?:.*,\s*)?([^,]+),\s*([^,]+),\s*Philippines.*""), TRIM(REGEXREPLACE(REGEXREPLACE(F291, ""(?:.*,\s*)?([^,]+),\s*([^,]+),\s*Philippines.*"", ""$1, $2""), ""\d+"", """")), """")"),"Cardona, Rizal")</f>
        <v>Cardona, Rizal</v>
      </c>
    </row>
    <row r="292">
      <c r="A292" s="1" t="s">
        <v>837</v>
      </c>
      <c r="B292" s="1" t="s">
        <v>838</v>
      </c>
      <c r="C292" s="1" t="s">
        <v>13</v>
      </c>
      <c r="D292" s="1">
        <v>13.5989557</v>
      </c>
      <c r="E292" s="1">
        <v>122.3363793</v>
      </c>
      <c r="F292" s="1" t="s">
        <v>839</v>
      </c>
      <c r="G292" s="3" t="str">
        <f>IFERROR(__xludf.DUMMYFUNCTION("IF(REGEXMATCH(F292, ""(?:.*,\s*)?([^,]+),\s*([^,]+),\s*Philippines.*""), TRIM(REGEXREPLACE(REGEXREPLACE(F292, ""(?:.*,\s*)?([^,]+),\s*([^,]+),\s*Philippines.*"", ""$1, $2""), ""\d+"", """")), """")"),"Catanauan, Quezon")</f>
        <v>Catanauan, Quezon</v>
      </c>
    </row>
    <row r="293">
      <c r="A293" s="1" t="s">
        <v>840</v>
      </c>
      <c r="B293" s="1" t="s">
        <v>841</v>
      </c>
      <c r="C293" s="1" t="s">
        <v>13</v>
      </c>
      <c r="D293" s="1">
        <v>14.2467579</v>
      </c>
      <c r="E293" s="1">
        <v>121.5001328</v>
      </c>
      <c r="F293" s="1" t="s">
        <v>842</v>
      </c>
      <c r="G293" s="3" t="str">
        <f>IFERROR(__xludf.DUMMYFUNCTION("IF(REGEXMATCH(F293, ""(?:.*,\s*)?([^,]+),\s*([^,]+),\s*Philippines.*""), TRIM(REGEXREPLACE(REGEXREPLACE(F293, ""(?:.*,\s*)?([^,]+),\s*([^,]+),\s*Philippines.*"", ""$1, $2""), ""\d+"", """")), """")"),"Cavinti, Laguna")</f>
        <v>Cavinti, Laguna</v>
      </c>
    </row>
    <row r="294">
      <c r="A294" s="1" t="s">
        <v>843</v>
      </c>
      <c r="B294" s="1" t="s">
        <v>844</v>
      </c>
      <c r="C294" s="1" t="s">
        <v>13</v>
      </c>
      <c r="D294" s="1">
        <v>14.2456329</v>
      </c>
      <c r="E294" s="1">
        <v>120.8785658</v>
      </c>
      <c r="F294" s="1" t="s">
        <v>845</v>
      </c>
      <c r="G294" s="3" t="str">
        <f>IFERROR(__xludf.DUMMYFUNCTION("IF(REGEXMATCH(F294, ""(?:.*,\s*)?([^,]+),\s*([^,]+),\s*Philippines.*""), TRIM(REGEXREPLACE(REGEXREPLACE(F294, ""(?:.*,\s*)?([^,]+),\s*([^,]+),\s*Philippines.*"", ""$1, $2""), ""\d+"", """")), """")"),"")</f>
        <v/>
      </c>
    </row>
    <row r="295">
      <c r="A295" s="1" t="s">
        <v>846</v>
      </c>
      <c r="B295" s="1" t="s">
        <v>847</v>
      </c>
      <c r="C295" s="1" t="s">
        <v>13</v>
      </c>
      <c r="D295" s="1">
        <v>14.4829742</v>
      </c>
      <c r="E295" s="1">
        <v>120.8970328</v>
      </c>
      <c r="F295" s="1" t="s">
        <v>848</v>
      </c>
      <c r="G295" s="3" t="str">
        <f>IFERROR(__xludf.DUMMYFUNCTION("IF(REGEXMATCH(F295, ""(?:.*,\s*)?([^,]+),\s*([^,]+),\s*Philippines.*""), TRIM(REGEXREPLACE(REGEXREPLACE(F295, ""(?:.*,\s*)?([^,]+),\s*([^,]+),\s*Philippines.*"", ""$1, $2""), ""\d+"", """")), """")"),"Cavite, Cavite")</f>
        <v>Cavite, Cavite</v>
      </c>
    </row>
    <row r="296">
      <c r="A296" s="1" t="s">
        <v>849</v>
      </c>
      <c r="B296" s="1" t="s">
        <v>850</v>
      </c>
      <c r="C296" s="1" t="s">
        <v>9</v>
      </c>
      <c r="D296" s="1">
        <v>14.3534024</v>
      </c>
      <c r="E296" s="1">
        <v>120.9814138</v>
      </c>
      <c r="F296" s="1" t="s">
        <v>851</v>
      </c>
      <c r="G296" s="3" t="str">
        <f>IFERROR(__xludf.DUMMYFUNCTION("IF(REGEXMATCH(F296, ""(?:.*,\s*)?([^,]+),\s*([^,]+),\s*Philippines.*""), TRIM(REGEXREPLACE(REGEXREPLACE(F296, ""(?:.*,\s*)?([^,]+),\s*([^,]+),\s*Philippines.*"", ""$1, $2""), ""\d+"", """")), """")"),"Dasmariñas, Cavite")</f>
        <v>Dasmariñas, Cavite</v>
      </c>
    </row>
    <row r="297">
      <c r="A297" s="1" t="s">
        <v>852</v>
      </c>
      <c r="B297" s="1" t="s">
        <v>853</v>
      </c>
      <c r="C297" s="1" t="s">
        <v>13</v>
      </c>
      <c r="D297" s="1">
        <v>14.2768441</v>
      </c>
      <c r="E297" s="1">
        <v>120.7340793</v>
      </c>
      <c r="F297" s="1" t="s">
        <v>854</v>
      </c>
      <c r="G297" s="3" t="str">
        <f>IFERROR(__xludf.DUMMYFUNCTION("IF(REGEXMATCH(F297, ""(?:.*,\s*)?([^,]+),\s*([^,]+),\s*Philippines.*""), TRIM(REGEXREPLACE(REGEXREPLACE(F297, ""(?:.*,\s*)?([^,]+),\s*([^,]+),\s*Philippines.*"", ""$1, $2""), ""\d+"", """")), """")"),"Maragondon, Cavite")</f>
        <v>Maragondon, Cavite</v>
      </c>
    </row>
    <row r="298">
      <c r="A298" s="1" t="s">
        <v>855</v>
      </c>
      <c r="B298" s="1">
        <v>0.0</v>
      </c>
      <c r="C298" s="1" t="s">
        <v>13</v>
      </c>
      <c r="D298" s="1">
        <v>14.4035451</v>
      </c>
      <c r="E298" s="1">
        <v>120.8659793</v>
      </c>
      <c r="F298" s="1" t="s">
        <v>856</v>
      </c>
      <c r="G298" s="3" t="str">
        <f>IFERROR(__xludf.DUMMYFUNCTION("IF(REGEXMATCH(F298, ""(?:.*,\s*)?([^,]+),\s*([^,]+),\s*Philippines.*""), TRIM(REGEXREPLACE(REGEXREPLACE(F298, ""(?:.*,\s*)?([^,]+),\s*([^,]+),\s*Philippines.*"", ""$1, $2""), ""\d+"", """")), """")"),"Rosario, Cavite")</f>
        <v>Rosario, Cavite</v>
      </c>
    </row>
    <row r="299">
      <c r="A299" s="1" t="s">
        <v>857</v>
      </c>
      <c r="B299" s="1" t="s">
        <v>858</v>
      </c>
      <c r="C299" s="1" t="s">
        <v>13</v>
      </c>
      <c r="D299" s="1">
        <v>14.2189423</v>
      </c>
      <c r="E299" s="1">
        <v>120.8742968</v>
      </c>
      <c r="F299" s="1" t="s">
        <v>859</v>
      </c>
      <c r="G299" s="3" t="str">
        <f>IFERROR(__xludf.DUMMYFUNCTION("IF(REGEXMATCH(F299, ""(?:.*,\s*)?([^,]+),\s*([^,]+),\s*Philippines.*""), TRIM(REGEXREPLACE(REGEXREPLACE(F299, ""(?:.*,\s*)?([^,]+),\s*([^,]+),\s*Philippines.*"", ""$1, $2""), ""\d+"", """")), """")"),"Indang, Cavite")</f>
        <v>Indang, Cavite</v>
      </c>
    </row>
    <row r="300">
      <c r="A300" s="1" t="s">
        <v>860</v>
      </c>
      <c r="B300" s="1" t="s">
        <v>861</v>
      </c>
      <c r="C300" s="1" t="s">
        <v>9</v>
      </c>
      <c r="D300" s="1">
        <v>14.4781369</v>
      </c>
      <c r="E300" s="1">
        <v>120.894342</v>
      </c>
      <c r="F300" s="1" t="s">
        <v>862</v>
      </c>
      <c r="G300" s="3" t="str">
        <f>IFERROR(__xludf.DUMMYFUNCTION("IF(REGEXMATCH(F300, ""(?:.*,\s*)?([^,]+),\s*([^,]+),\s*Philippines.*""), TRIM(REGEXREPLACE(REGEXREPLACE(F300, ""(?:.*,\s*)?([^,]+),\s*([^,]+),\s*Philippines.*"", ""$1, $2""), ""\d+"", """")), """")"),"Cavite, Cavite")</f>
        <v>Cavite, Cavite</v>
      </c>
    </row>
    <row r="301">
      <c r="A301" s="1" t="s">
        <v>863</v>
      </c>
      <c r="B301" s="1" t="s">
        <v>864</v>
      </c>
      <c r="C301" s="1" t="s">
        <v>9</v>
      </c>
      <c r="D301" s="1">
        <v>14.2803331</v>
      </c>
      <c r="E301" s="1">
        <v>120.7271504</v>
      </c>
      <c r="F301" s="1" t="s">
        <v>865</v>
      </c>
      <c r="G301" s="3" t="str">
        <f>IFERROR(__xludf.DUMMYFUNCTION("IF(REGEXMATCH(F301, ""(?:.*,\s*)?([^,]+),\s*([^,]+),\s*Philippines.*""), TRIM(REGEXREPLACE(REGEXREPLACE(F301, ""(?:.*,\s*)?([^,]+),\s*([^,]+),\s*Philippines.*"", ""$1, $2""), ""\d+"", """")), """")"),"Ternate, Cavite")</f>
        <v>Ternate, Cavite</v>
      </c>
    </row>
    <row r="302">
      <c r="A302" s="1" t="s">
        <v>866</v>
      </c>
      <c r="B302" s="1" t="s">
        <v>867</v>
      </c>
      <c r="C302" s="1" t="s">
        <v>13</v>
      </c>
      <c r="D302" s="1">
        <v>14.6613026</v>
      </c>
      <c r="E302" s="1">
        <v>121.3434736</v>
      </c>
      <c r="F302" s="1" t="s">
        <v>868</v>
      </c>
      <c r="G302" s="3" t="str">
        <f>IFERROR(__xludf.DUMMYFUNCTION("IF(REGEXMATCH(F302, ""(?:.*,\s*)?([^,]+),\s*([^,]+),\s*Philippines.*""), TRIM(REGEXREPLACE(REGEXREPLACE(F302, ""(?:.*,\s*)?([^,]+),\s*([^,]+),\s*Philippines.*"", ""$1, $2""), ""\d+"", """")), """")"),"Tanay, Rizal")</f>
        <v>Tanay, Rizal</v>
      </c>
    </row>
    <row r="303">
      <c r="A303" s="1" t="s">
        <v>869</v>
      </c>
      <c r="B303" s="1" t="s">
        <v>870</v>
      </c>
      <c r="C303" s="1" t="s">
        <v>13</v>
      </c>
      <c r="D303" s="1">
        <v>14.7312077</v>
      </c>
      <c r="E303" s="1">
        <v>121.145185</v>
      </c>
      <c r="F303" s="1" t="s">
        <v>871</v>
      </c>
      <c r="G303" s="3" t="str">
        <f>IFERROR(__xludf.DUMMYFUNCTION("IF(REGEXMATCH(F303, ""(?:.*,\s*)?([^,]+),\s*([^,]+),\s*Philippines.*""), TRIM(REGEXREPLACE(REGEXREPLACE(F303, ""(?:.*,\s*)?([^,]+),\s*([^,]+),\s*Philippines.*"", ""$1, $2""), ""\d+"", """")), """")"),"Rodriguez, Rizal")</f>
        <v>Rodriguez, Rizal</v>
      </c>
    </row>
    <row r="304">
      <c r="A304" s="1" t="s">
        <v>872</v>
      </c>
      <c r="B304" s="1" t="s">
        <v>873</v>
      </c>
      <c r="C304" s="1" t="s">
        <v>13</v>
      </c>
      <c r="D304" s="1">
        <v>14.6756536</v>
      </c>
      <c r="E304" s="1">
        <v>121.1107366</v>
      </c>
      <c r="F304" s="1" t="s">
        <v>874</v>
      </c>
      <c r="G304" s="3" t="str">
        <f>IFERROR(__xludf.DUMMYFUNCTION("IF(REGEXMATCH(F304, ""(?:.*,\s*)?([^,]+),\s*([^,]+),\s*Philippines.*""), TRIM(REGEXREPLACE(REGEXREPLACE(F304, ""(?:.*,\s*)?([^,]+),\s*([^,]+),\s*Philippines.*"", ""$1, $2""), ""\d+"", """")), """")"),"San Mateo, Rizal")</f>
        <v>San Mateo, Rizal</v>
      </c>
    </row>
    <row r="305">
      <c r="A305" s="1" t="s">
        <v>875</v>
      </c>
      <c r="B305" s="1" t="s">
        <v>876</v>
      </c>
      <c r="C305" s="1" t="s">
        <v>9</v>
      </c>
      <c r="D305" s="1">
        <v>14.5906955</v>
      </c>
      <c r="E305" s="1">
        <v>121.1141208</v>
      </c>
      <c r="F305" s="1" t="s">
        <v>877</v>
      </c>
      <c r="G305" s="3" t="str">
        <f>IFERROR(__xludf.DUMMYFUNCTION("IF(REGEXMATCH(F305, ""(?:.*,\s*)?([^,]+),\s*([^,]+),\s*Philippines.*""), TRIM(REGEXREPLACE(REGEXREPLACE(F305, ""(?:.*,\s*)?([^,]+),\s*([^,]+),\s*Philippines.*"", ""$1, $2""), ""\d+"", """")), """")"),"Cainta, Lalawigan ng Rizal")</f>
        <v>Cainta, Lalawigan ng Rizal</v>
      </c>
    </row>
    <row r="306">
      <c r="A306" s="1" t="s">
        <v>878</v>
      </c>
      <c r="B306" s="1" t="s">
        <v>879</v>
      </c>
      <c r="C306" s="1" t="s">
        <v>13</v>
      </c>
      <c r="D306" s="1">
        <v>14.0116199</v>
      </c>
      <c r="E306" s="1">
        <v>122.1845953</v>
      </c>
      <c r="F306" s="1" t="s">
        <v>880</v>
      </c>
      <c r="G306" s="3" t="str">
        <f>IFERROR(__xludf.DUMMYFUNCTION("IF(REGEXMATCH(F306, ""(?:.*,\s*)?([^,]+),\s*([^,]+),\s*Philippines.*""), TRIM(REGEXREPLACE(REGEXREPLACE(F306, ""(?:.*,\s*)?([^,]+),\s*([^,]+),\s*Philippines.*"", ""$1, $2""), ""\d+"", """")), """")"),"M+JRX, Quezon")</f>
        <v>M+JRX, Quezon</v>
      </c>
    </row>
    <row r="307">
      <c r="A307" s="1" t="s">
        <v>881</v>
      </c>
      <c r="B307" s="1" t="s">
        <v>882</v>
      </c>
      <c r="C307" s="1" t="s">
        <v>9</v>
      </c>
      <c r="D307" s="1">
        <v>14.2940456</v>
      </c>
      <c r="E307" s="1">
        <v>121.105397</v>
      </c>
      <c r="F307" s="1" t="s">
        <v>883</v>
      </c>
      <c r="G307" s="3" t="str">
        <f>IFERROR(__xludf.DUMMYFUNCTION("IF(REGEXMATCH(F307, ""(?:.*,\s*)?([^,]+),\s*([^,]+),\s*Philippines.*""), TRIM(REGEXREPLACE(REGEXREPLACE(F307, ""(?:.*,\s*)?([^,]+),\s*([^,]+),\s*Philippines.*"", ""$1, $2""), ""\d+"", """")), """")"),"City of Santa Rosa, Laguna")</f>
        <v>City of Santa Rosa, Laguna</v>
      </c>
    </row>
    <row r="308">
      <c r="A308" s="1" t="s">
        <v>884</v>
      </c>
      <c r="B308" s="1" t="s">
        <v>885</v>
      </c>
      <c r="C308" s="1" t="s">
        <v>9</v>
      </c>
      <c r="D308" s="1">
        <v>14.1813075</v>
      </c>
      <c r="E308" s="1">
        <v>121.2834295</v>
      </c>
      <c r="F308" s="1" t="s">
        <v>886</v>
      </c>
      <c r="G308" s="3" t="str">
        <f>IFERROR(__xludf.DUMMYFUNCTION("IF(REGEXMATCH(F308, ""(?:.*,\s*)?([^,]+),\s*([^,]+),\s*Philippines.*""), TRIM(REGEXREPLACE(REGEXREPLACE(F308, ""(?:.*,\s*)?([^,]+),\s*([^,]+),\s*Philippines.*"", ""$1, $2""), ""\d+"", """")), """")"),"Bay, Laguna")</f>
        <v>Bay, Laguna</v>
      </c>
    </row>
    <row r="309">
      <c r="A309" s="1" t="s">
        <v>887</v>
      </c>
      <c r="B309" s="1" t="s">
        <v>888</v>
      </c>
      <c r="C309" s="1" t="s">
        <v>9</v>
      </c>
      <c r="D309" s="1">
        <v>14.3389924</v>
      </c>
      <c r="E309" s="1">
        <v>121.083196</v>
      </c>
      <c r="F309" s="1" t="s">
        <v>889</v>
      </c>
      <c r="G309" s="3" t="str">
        <f>IFERROR(__xludf.DUMMYFUNCTION("IF(REGEXMATCH(F309, ""(?:.*,\s*)?([^,]+),\s*([^,]+),\s*Philippines.*""), TRIM(REGEXREPLACE(REGEXREPLACE(F309, ""(?:.*,\s*)?([^,]+),\s*([^,]+),\s*Philippines.*"", ""$1, $2""), ""\d+"", """")), """")"),"Biñan, Laguna")</f>
        <v>Biñan, Laguna</v>
      </c>
    </row>
    <row r="310">
      <c r="A310" s="1" t="s">
        <v>890</v>
      </c>
      <c r="B310" s="1" t="s">
        <v>891</v>
      </c>
      <c r="C310" s="1" t="s">
        <v>9</v>
      </c>
      <c r="D310" s="1">
        <v>14.2786985</v>
      </c>
      <c r="E310" s="1">
        <v>121.1237046</v>
      </c>
      <c r="F310" s="1" t="s">
        <v>892</v>
      </c>
      <c r="G310" s="3" t="str">
        <f>IFERROR(__xludf.DUMMYFUNCTION("IF(REGEXMATCH(F310, ""(?:.*,\s*)?([^,]+),\s*([^,]+),\s*Philippines.*""), TRIM(REGEXREPLACE(REGEXREPLACE(F310, ""(?:.*,\s*)?([^,]+),\s*([^,]+),\s*Philippines.*"", ""$1, $2""), ""\d+"", """")), """")"),"Cabuyao City, Laguna")</f>
        <v>Cabuyao City, Laguna</v>
      </c>
    </row>
    <row r="311">
      <c r="A311" s="1" t="s">
        <v>893</v>
      </c>
      <c r="B311" s="1" t="s">
        <v>894</v>
      </c>
      <c r="C311" s="1" t="s">
        <v>9</v>
      </c>
      <c r="D311" s="1">
        <v>14.2096424</v>
      </c>
      <c r="E311" s="1">
        <v>121.1606326</v>
      </c>
      <c r="F311" s="1" t="s">
        <v>895</v>
      </c>
      <c r="G311" s="3" t="str">
        <f>IFERROR(__xludf.DUMMYFUNCTION("IF(REGEXMATCH(F311, ""(?:.*,\s*)?([^,]+),\s*([^,]+),\s*Philippines.*""), TRIM(REGEXREPLACE(REGEXREPLACE(F311, ""(?:.*,\s*)?([^,]+),\s*([^,]+),\s*Philippines.*"", ""$1, $2""), ""\d+"", """")), """")"),"Calamba, Laguna")</f>
        <v>Calamba, Laguna</v>
      </c>
    </row>
    <row r="312">
      <c r="A312" s="1" t="s">
        <v>896</v>
      </c>
      <c r="B312" s="1" t="s">
        <v>897</v>
      </c>
      <c r="C312" s="1" t="s">
        <v>9</v>
      </c>
      <c r="D312" s="1">
        <v>14.2500282</v>
      </c>
      <c r="E312" s="1">
        <v>121.0649863</v>
      </c>
      <c r="F312" s="1" t="s">
        <v>898</v>
      </c>
      <c r="G312" s="3" t="str">
        <f>IFERROR(__xludf.DUMMYFUNCTION("IF(REGEXMATCH(F312, ""(?:.*,\s*)?([^,]+),\s*([^,]+),\s*Philippines.*""), TRIM(REGEXREPLACE(REGEXREPLACE(F312, ""(?:.*,\s*)?([^,]+),\s*([^,]+),\s*Philippines.*"", ""$1, $2""), ""\d+"", """")), """")"),"Noveleta, Cavite")</f>
        <v>Noveleta, Cavite</v>
      </c>
    </row>
    <row r="313">
      <c r="A313" s="1" t="s">
        <v>899</v>
      </c>
      <c r="B313" s="1" t="s">
        <v>900</v>
      </c>
      <c r="C313" s="1" t="s">
        <v>9</v>
      </c>
      <c r="D313" s="1">
        <v>14.2096424</v>
      </c>
      <c r="E313" s="1">
        <v>121.1606326</v>
      </c>
      <c r="F313" s="1" t="s">
        <v>895</v>
      </c>
      <c r="G313" s="3" t="str">
        <f>IFERROR(__xludf.DUMMYFUNCTION("IF(REGEXMATCH(F313, ""(?:.*,\s*)?([^,]+),\s*([^,]+),\s*Philippines.*""), TRIM(REGEXREPLACE(REGEXREPLACE(F313, ""(?:.*,\s*)?([^,]+),\s*([^,]+),\s*Philippines.*"", ""$1, $2""), ""\d+"", """")), """")"),"Calamba, Laguna")</f>
        <v>Calamba, Laguna</v>
      </c>
    </row>
    <row r="314">
      <c r="A314" s="1" t="s">
        <v>901</v>
      </c>
      <c r="B314" s="1" t="s">
        <v>902</v>
      </c>
      <c r="C314" s="1" t="s">
        <v>9</v>
      </c>
      <c r="D314" s="1">
        <v>14.2120907</v>
      </c>
      <c r="E314" s="1">
        <v>121.1675199</v>
      </c>
      <c r="F314" s="1" t="s">
        <v>903</v>
      </c>
      <c r="G314" s="3" t="str">
        <f>IFERROR(__xludf.DUMMYFUNCTION("IF(REGEXMATCH(F314, ""(?:.*,\s*)?([^,]+),\s*([^,]+),\s*Philippines.*""), TRIM(REGEXREPLACE(REGEXREPLACE(F314, ""(?:.*,\s*)?([^,]+),\s*([^,]+),\s*Philippines.*"", ""$1, $2""), ""\d+"", """")), """")"),"Calamba, Laguna")</f>
        <v>Calamba, Laguna</v>
      </c>
    </row>
    <row r="315">
      <c r="A315" s="1" t="s">
        <v>904</v>
      </c>
      <c r="B315" s="1" t="s">
        <v>905</v>
      </c>
      <c r="C315" s="1" t="s">
        <v>9</v>
      </c>
      <c r="D315" s="1">
        <v>14.1013657</v>
      </c>
      <c r="E315" s="1">
        <v>120.9386044</v>
      </c>
      <c r="F315" s="1" t="s">
        <v>906</v>
      </c>
      <c r="G315" s="3" t="str">
        <f>IFERROR(__xludf.DUMMYFUNCTION("IF(REGEXMATCH(F315, ""(?:.*,\s*)?([^,]+),\s*([^,]+),\s*Philippines.*""), TRIM(REGEXREPLACE(REGEXREPLACE(F315, ""(?:.*,\s*)?([^,]+),\s*([^,]+),\s*Philippines.*"", ""$1, $2""), ""\d+"", """")), """")"),"Tagaytay City, Cavite")</f>
        <v>Tagaytay City, Cavite</v>
      </c>
    </row>
    <row r="316">
      <c r="A316" s="1" t="s">
        <v>907</v>
      </c>
      <c r="B316" s="1" t="s">
        <v>908</v>
      </c>
      <c r="C316" s="1" t="s">
        <v>13</v>
      </c>
      <c r="D316" s="1">
        <v>13.8258449</v>
      </c>
      <c r="E316" s="1">
        <v>122.2909078</v>
      </c>
      <c r="F316" s="1" t="s">
        <v>909</v>
      </c>
      <c r="G316" s="3" t="str">
        <f>IFERROR(__xludf.DUMMYFUNCTION("IF(REGEXMATCH(F316, ""(?:.*,\s*)?([^,]+),\s*([^,]+),\s*Philippines.*""), TRIM(REGEXREPLACE(REGEXREPLACE(F316, ""(?:.*,\s*)?([^,]+),\s*([^,]+),\s*Philippines.*"", ""$1, $2""), ""\d+"", """")), """")"),"Lopez, Quezon")</f>
        <v>Lopez, Quezon</v>
      </c>
    </row>
    <row r="317">
      <c r="A317" s="1" t="s">
        <v>910</v>
      </c>
      <c r="B317" s="1" t="s">
        <v>911</v>
      </c>
      <c r="C317" s="1" t="s">
        <v>13</v>
      </c>
      <c r="D317" s="1">
        <v>14.0742435</v>
      </c>
      <c r="E317" s="1">
        <v>121.322525</v>
      </c>
      <c r="F317" s="1" t="s">
        <v>912</v>
      </c>
      <c r="G317" s="3" t="str">
        <f>IFERROR(__xludf.DUMMYFUNCTION("IF(REGEXMATCH(F317, ""(?:.*,\s*)?([^,]+),\s*([^,]+),\s*Philippines.*""), TRIM(REGEXREPLACE(REGEXREPLACE(F317, ""(?:.*,\s*)?([^,]+),\s*([^,]+),\s*Philippines.*"", ""$1, $2""), ""\d+"", """")), """")"),"San Pablo City, Laguna")</f>
        <v>San Pablo City, Laguna</v>
      </c>
    </row>
    <row r="318">
      <c r="A318" s="1" t="s">
        <v>913</v>
      </c>
      <c r="B318" s="1" t="s">
        <v>914</v>
      </c>
      <c r="C318" s="1" t="s">
        <v>622</v>
      </c>
      <c r="D318" s="1">
        <v>14.9509541</v>
      </c>
      <c r="E318" s="1">
        <v>120.0626827</v>
      </c>
      <c r="F318" s="1" t="s">
        <v>915</v>
      </c>
      <c r="G318" s="3" t="str">
        <f>IFERROR(__xludf.DUMMYFUNCTION("IF(REGEXMATCH(F318, ""(?:.*,\s*)?([^,]+),\s*([^,]+),\s*Philippines.*""), TRIM(REGEXREPLACE(REGEXREPLACE(F318, ""(?:.*,\s*)?([^,]+),\s*([^,]+),\s*Philippines.*"", ""$1, $2""), ""\d+"", """")), """")"),"San Antonio, Zambales")</f>
        <v>San Antonio, Zambales</v>
      </c>
    </row>
    <row r="319">
      <c r="A319" s="1" t="s">
        <v>916</v>
      </c>
      <c r="B319" s="1" t="s">
        <v>917</v>
      </c>
      <c r="C319" s="1" t="s">
        <v>13</v>
      </c>
      <c r="D319" s="1">
        <v>14.1727407</v>
      </c>
      <c r="E319" s="1">
        <v>121.2432701</v>
      </c>
      <c r="F319" s="1" t="s">
        <v>918</v>
      </c>
      <c r="G319" s="3" t="str">
        <f>IFERROR(__xludf.DUMMYFUNCTION("IF(REGEXMATCH(F319, ""(?:.*,\s*)?([^,]+),\s*([^,]+),\s*Philippines.*""), TRIM(REGEXREPLACE(REGEXREPLACE(F319, ""(?:.*,\s*)?([^,]+),\s*([^,]+),\s*Philippines.*"", ""$1, $2""), ""\d+"", """")), """")"),"Los Baños, Laguna")</f>
        <v>Los Baños, Laguna</v>
      </c>
    </row>
    <row r="320">
      <c r="A320" s="1" t="s">
        <v>919</v>
      </c>
      <c r="B320" s="1" t="s">
        <v>920</v>
      </c>
      <c r="C320" s="1" t="s">
        <v>9</v>
      </c>
      <c r="D320" s="1">
        <v>14.1731358</v>
      </c>
      <c r="E320" s="1">
        <v>121.243355</v>
      </c>
      <c r="F320" s="1" t="s">
        <v>921</v>
      </c>
      <c r="G320" s="3" t="str">
        <f>IFERROR(__xludf.DUMMYFUNCTION("IF(REGEXMATCH(F320, ""(?:.*,\s*)?([^,]+),\s*([^,]+),\s*Philippines.*""), TRIM(REGEXREPLACE(REGEXREPLACE(F320, ""(?:.*,\s*)?([^,]+),\s*([^,]+),\s*Philippines.*"", ""$1, $2""), ""\d+"", """")), """")"),"Los Baños, Laguna")</f>
        <v>Los Baños, Laguna</v>
      </c>
    </row>
    <row r="321">
      <c r="A321" s="1" t="s">
        <v>922</v>
      </c>
      <c r="B321" s="1" t="s">
        <v>923</v>
      </c>
      <c r="C321" s="1" t="s">
        <v>13</v>
      </c>
      <c r="D321" s="1">
        <v>14.4079389</v>
      </c>
      <c r="E321" s="1">
        <v>120.9403291</v>
      </c>
      <c r="F321" s="1" t="s">
        <v>924</v>
      </c>
      <c r="G321" s="3" t="str">
        <f>IFERROR(__xludf.DUMMYFUNCTION("IF(REGEXMATCH(F321, ""(?:.*,\s*)?([^,]+),\s*([^,]+),\s*Philippines.*""), TRIM(REGEXREPLACE(REGEXREPLACE(F321, ""(?:.*,\s*)?([^,]+),\s*([^,]+),\s*Philippines.*"", ""$1, $2""), ""\d+"", """")), """")"),"Imus, Cavite")</f>
        <v>Imus, Cavite</v>
      </c>
    </row>
    <row r="322">
      <c r="A322" s="1" t="s">
        <v>925</v>
      </c>
      <c r="B322" s="1" t="s">
        <v>926</v>
      </c>
      <c r="C322" s="1" t="s">
        <v>9</v>
      </c>
      <c r="D322" s="1">
        <v>14.1887239</v>
      </c>
      <c r="E322" s="1">
        <v>121.165406</v>
      </c>
      <c r="F322" s="1" t="s">
        <v>927</v>
      </c>
      <c r="G322" s="3" t="str">
        <f>IFERROR(__xludf.DUMMYFUNCTION("IF(REGEXMATCH(F322, ""(?:.*,\s*)?([^,]+),\s*([^,]+),\s*Philippines.*""), TRIM(REGEXREPLACE(REGEXREPLACE(F322, ""(?:.*,\s*)?([^,]+),\s*([^,]+),\s*Philippines.*"", ""$1, $2""), ""\d+"", """")), """")"),"Calamba, Laguna")</f>
        <v>Calamba, Laguna</v>
      </c>
    </row>
    <row r="323">
      <c r="A323" s="1" t="s">
        <v>928</v>
      </c>
      <c r="B323" s="1" t="s">
        <v>929</v>
      </c>
      <c r="C323" s="1" t="s">
        <v>13</v>
      </c>
      <c r="D323" s="1">
        <v>13.9638981</v>
      </c>
      <c r="E323" s="1">
        <v>121.5252331</v>
      </c>
      <c r="F323" s="1" t="s">
        <v>930</v>
      </c>
      <c r="G323" s="3" t="str">
        <f>IFERROR(__xludf.DUMMYFUNCTION("IF(REGEXMATCH(F323, ""(?:.*,\s*)?([^,]+),\s*([^,]+),\s*Philippines.*""), TRIM(REGEXREPLACE(REGEXREPLACE(F323, ""(?:.*,\s*)?([^,]+),\s*([^,]+),\s*Philippines.*"", ""$1, $2""), ""\d+"", """")), """")"),"Sariaya, Quezon")</f>
        <v>Sariaya, Quezon</v>
      </c>
    </row>
    <row r="324">
      <c r="A324" s="1" t="s">
        <v>931</v>
      </c>
      <c r="B324" s="1" t="s">
        <v>932</v>
      </c>
      <c r="C324" s="1" t="s">
        <v>9</v>
      </c>
      <c r="D324" s="1">
        <v>13.8744704</v>
      </c>
      <c r="E324" s="1">
        <v>120.6324465</v>
      </c>
      <c r="F324" s="1" t="s">
        <v>933</v>
      </c>
      <c r="G324" s="3" t="str">
        <f>IFERROR(__xludf.DUMMYFUNCTION("IF(REGEXMATCH(F324, ""(?:.*,\s*)?([^,]+),\s*([^,]+),\s*Philippines.*""), TRIM(REGEXREPLACE(REGEXREPLACE(F324, ""(?:.*,\s*)?([^,]+),\s*([^,]+),\s*Philippines.*"", ""$1, $2""), ""\d+"", """")), """")"),"Calatagan, Batangas")</f>
        <v>Calatagan, Batangas</v>
      </c>
    </row>
    <row r="325">
      <c r="A325" s="1" t="s">
        <v>934</v>
      </c>
      <c r="B325" s="1" t="s">
        <v>935</v>
      </c>
      <c r="C325" s="1" t="s">
        <v>9</v>
      </c>
      <c r="D325" s="1">
        <v>14.3308256</v>
      </c>
      <c r="E325" s="1">
        <v>121.0529802</v>
      </c>
      <c r="F325" s="1" t="s">
        <v>936</v>
      </c>
      <c r="G325" s="3" t="str">
        <f>IFERROR(__xludf.DUMMYFUNCTION("IF(REGEXMATCH(F325, ""(?:.*,\s*)?([^,]+),\s*([^,]+),\s*Philippines.*""), TRIM(REGEXREPLACE(REGEXREPLACE(F325, ""(?:.*,\s*)?([^,]+),\s*([^,]+),\s*Philippines.*"", ""$1, $2""), ""\d+"", """")), """")"),"Biñan, Laguna")</f>
        <v>Biñan, Laguna</v>
      </c>
    </row>
    <row r="326">
      <c r="A326" s="1" t="s">
        <v>937</v>
      </c>
      <c r="B326" s="1" t="s">
        <v>938</v>
      </c>
      <c r="C326" s="1" t="s">
        <v>9</v>
      </c>
      <c r="D326" s="1">
        <v>14.5671911</v>
      </c>
      <c r="E326" s="1">
        <v>121.1305191</v>
      </c>
      <c r="F326" s="1" t="s">
        <v>939</v>
      </c>
      <c r="G326" s="3" t="str">
        <f>IFERROR(__xludf.DUMMYFUNCTION("IF(REGEXMATCH(F326, ""(?:.*,\s*)?([^,]+),\s*([^,]+),\s*Philippines.*""), TRIM(REGEXREPLACE(REGEXREPLACE(F326, ""(?:.*,\s*)?([^,]+),\s*([^,]+),\s*Philippines.*"", ""$1, $2""), ""\d+"", """")), """")"),"Taytay, Rizal")</f>
        <v>Taytay, Rizal</v>
      </c>
    </row>
    <row r="327">
      <c r="A327" s="1" t="s">
        <v>940</v>
      </c>
      <c r="B327" s="1" t="s">
        <v>941</v>
      </c>
      <c r="C327" s="1" t="s">
        <v>9</v>
      </c>
      <c r="D327" s="1">
        <v>14.5671911</v>
      </c>
      <c r="E327" s="1">
        <v>121.1305191</v>
      </c>
      <c r="F327" s="1" t="s">
        <v>939</v>
      </c>
      <c r="G327" s="3" t="str">
        <f>IFERROR(__xludf.DUMMYFUNCTION("IF(REGEXMATCH(F327, ""(?:.*,\s*)?([^,]+),\s*([^,]+),\s*Philippines.*""), TRIM(REGEXREPLACE(REGEXREPLACE(F327, ""(?:.*,\s*)?([^,]+),\s*([^,]+),\s*Philippines.*"", ""$1, $2""), ""\d+"", """")), """")"),"Taytay, Rizal")</f>
        <v>Taytay, Rizal</v>
      </c>
    </row>
    <row r="328">
      <c r="A328" s="1" t="s">
        <v>942</v>
      </c>
      <c r="B328" s="1" t="s">
        <v>943</v>
      </c>
      <c r="C328" s="1" t="s">
        <v>9</v>
      </c>
      <c r="D328" s="1">
        <v>14.7298346</v>
      </c>
      <c r="E328" s="1">
        <v>121.1251172</v>
      </c>
      <c r="F328" s="1" t="s">
        <v>944</v>
      </c>
      <c r="G328" s="3" t="str">
        <f>IFERROR(__xludf.DUMMYFUNCTION("IF(REGEXMATCH(F328, ""(?:.*,\s*)?([^,]+),\s*([^,]+),\s*Philippines.*""), TRIM(REGEXREPLACE(REGEXREPLACE(F328, ""(?:.*,\s*)?([^,]+),\s*([^,]+),\s*Philippines.*"", ""$1, $2""), ""\d+"", """")), """")"),"Rodriguez, Metro Manila")</f>
        <v>Rodriguez, Metro Manila</v>
      </c>
    </row>
    <row r="329">
      <c r="A329" s="1" t="s">
        <v>945</v>
      </c>
      <c r="B329" s="1" t="s">
        <v>946</v>
      </c>
      <c r="C329" s="1" t="s">
        <v>9</v>
      </c>
      <c r="D329" s="1">
        <v>14.586048</v>
      </c>
      <c r="E329" s="1">
        <v>121.115657</v>
      </c>
      <c r="F329" s="1" t="s">
        <v>947</v>
      </c>
      <c r="G329" s="3" t="str">
        <f>IFERROR(__xludf.DUMMYFUNCTION("IF(REGEXMATCH(F329, ""(?:.*,\s*)?([^,]+),\s*([^,]+),\s*Philippines.*""), TRIM(REGEXREPLACE(REGEXREPLACE(F329, ""(?:.*,\s*)?([^,]+),\s*([^,]+),\s*Philippines.*"", ""$1, $2""), ""\d+"", """")), """")"),"Cainta, Rizal")</f>
        <v>Cainta, Rizal</v>
      </c>
    </row>
    <row r="330">
      <c r="A330" s="1" t="s">
        <v>948</v>
      </c>
      <c r="B330" s="1" t="s">
        <v>949</v>
      </c>
      <c r="C330" s="1" t="s">
        <v>13</v>
      </c>
      <c r="D330" s="1">
        <v>14.6203457</v>
      </c>
      <c r="E330" s="1">
        <v>121.1474057</v>
      </c>
      <c r="F330" s="1" t="s">
        <v>950</v>
      </c>
      <c r="G330" s="3" t="str">
        <f>IFERROR(__xludf.DUMMYFUNCTION("IF(REGEXMATCH(F330, ""(?:.*,\s*)?([^,]+),\s*([^,]+),\s*Philippines.*""), TRIM(REGEXREPLACE(REGEXREPLACE(F330, ""(?:.*,\s*)?([^,]+),\s*([^,]+),\s*Philippines.*"", ""$1, $2""), ""\d+"", """")), """")"),"Antipolo, Rizal")</f>
        <v>Antipolo, Rizal</v>
      </c>
    </row>
    <row r="331">
      <c r="A331" s="1" t="s">
        <v>951</v>
      </c>
      <c r="B331" s="1" t="s">
        <v>952</v>
      </c>
      <c r="C331" s="1" t="s">
        <v>9</v>
      </c>
      <c r="D331" s="1">
        <v>13.9382696</v>
      </c>
      <c r="E331" s="1">
        <v>121.6013616</v>
      </c>
      <c r="F331" s="1" t="s">
        <v>953</v>
      </c>
      <c r="G331" s="3" t="str">
        <f>IFERROR(__xludf.DUMMYFUNCTION("IF(REGEXMATCH(F331, ""(?:.*,\s*)?([^,]+),\s*([^,]+),\s*Philippines.*""), TRIM(REGEXREPLACE(REGEXREPLACE(F331, ""(?:.*,\s*)?([^,]+),\s*([^,]+),\s*Philippines.*"", ""$1, $2""), ""\d+"", """")), """")"),"Lucena City, Quezon")</f>
        <v>Lucena City, Quezon</v>
      </c>
    </row>
    <row r="332">
      <c r="A332" s="1" t="s">
        <v>954</v>
      </c>
      <c r="B332" s="1" t="s">
        <v>955</v>
      </c>
      <c r="C332" s="1" t="s">
        <v>9</v>
      </c>
      <c r="D332" s="1">
        <v>12.879721</v>
      </c>
      <c r="E332" s="1">
        <v>121.774017</v>
      </c>
      <c r="F332" s="1" t="s">
        <v>47</v>
      </c>
      <c r="G332" s="3" t="str">
        <f>IFERROR(__xludf.DUMMYFUNCTION("IF(REGEXMATCH(F332, ""(?:.*,\s*)?([^,]+),\s*([^,]+),\s*Philippines.*""), TRIM(REGEXREPLACE(REGEXREPLACE(F332, ""(?:.*,\s*)?([^,]+),\s*([^,]+),\s*Philippines.*"", ""$1, $2""), ""\d+"", """")), """")"),"")</f>
        <v/>
      </c>
    </row>
    <row r="333">
      <c r="A333" s="1" t="s">
        <v>956</v>
      </c>
      <c r="B333" s="1" t="s">
        <v>957</v>
      </c>
      <c r="C333" s="1" t="s">
        <v>13</v>
      </c>
      <c r="D333" s="1">
        <v>12.9090527</v>
      </c>
      <c r="E333" s="1">
        <v>121.7161615</v>
      </c>
      <c r="F333" s="1" t="s">
        <v>958</v>
      </c>
      <c r="G333" s="3" t="str">
        <f>IFERROR(__xludf.DUMMYFUNCTION("IF(REGEXMATCH(F333, ""(?:.*,\s*)?([^,]+),\s*([^,]+),\s*Philippines.*""), TRIM(REGEXREPLACE(REGEXREPLACE(F333, ""(?:.*,\s*)?([^,]+),\s*([^,]+),\s*Philippines.*"", ""$1, $2""), ""\d+"", """")), """")"),"Concepcion, Romblon")</f>
        <v>Concepcion, Romblon</v>
      </c>
    </row>
    <row r="334">
      <c r="A334" s="1" t="s">
        <v>959</v>
      </c>
      <c r="B334" s="1" t="s">
        <v>960</v>
      </c>
      <c r="C334" s="1" t="s">
        <v>13</v>
      </c>
      <c r="D334" s="1">
        <v>13.7349476</v>
      </c>
      <c r="E334" s="1">
        <v>121.1123219</v>
      </c>
      <c r="F334" s="1" t="s">
        <v>961</v>
      </c>
      <c r="G334" s="3" t="str">
        <f>IFERROR(__xludf.DUMMYFUNCTION("IF(REGEXMATCH(F334, ""(?:.*,\s*)?([^,]+),\s*([^,]+),\s*Philippines.*""), TRIM(REGEXREPLACE(REGEXREPLACE(F334, ""(?:.*,\s*)?([^,]+),\s*([^,]+),\s*Philippines.*"", ""$1, $2""), ""\d+"", """")), """")"),"Batangas City, Batangas")</f>
        <v>Batangas City, Batangas</v>
      </c>
    </row>
    <row r="335">
      <c r="A335" s="1" t="s">
        <v>962</v>
      </c>
      <c r="C335" s="1" t="s">
        <v>13</v>
      </c>
      <c r="D335" s="1">
        <v>13.9203883</v>
      </c>
      <c r="E335" s="1">
        <v>121.6123607</v>
      </c>
      <c r="F335" s="1" t="s">
        <v>963</v>
      </c>
      <c r="G335" s="3" t="str">
        <f>IFERROR(__xludf.DUMMYFUNCTION("IF(REGEXMATCH(F335, ""(?:.*,\s*)?([^,]+),\s*([^,]+),\s*Philippines.*""), TRIM(REGEXREPLACE(REGEXREPLACE(F335, ""(?:.*,\s*)?([^,]+),\s*([^,]+),\s*Philippines.*"", ""$1, $2""), ""\d+"", """")), """")"),"Lucena City, Quezon")</f>
        <v>Lucena City, Quezon</v>
      </c>
    </row>
    <row r="336">
      <c r="A336" s="1" t="s">
        <v>964</v>
      </c>
      <c r="B336" s="1" t="s">
        <v>965</v>
      </c>
      <c r="C336" s="1" t="s">
        <v>9</v>
      </c>
      <c r="D336" s="1">
        <v>14.9511117</v>
      </c>
      <c r="E336" s="1">
        <v>120.0611707</v>
      </c>
      <c r="F336" s="1" t="s">
        <v>966</v>
      </c>
      <c r="G336" s="3" t="str">
        <f>IFERROR(__xludf.DUMMYFUNCTION("IF(REGEXMATCH(F336, ""(?:.*,\s*)?([^,]+),\s*([^,]+),\s*Philippines.*""), TRIM(REGEXREPLACE(REGEXREPLACE(F336, ""(?:.*,\s*)?([^,]+),\s*([^,]+),\s*Philippines.*"", ""$1, $2""), ""\d+"", """")), """")"),"San Antonio, Zambales")</f>
        <v>San Antonio, Zambales</v>
      </c>
    </row>
    <row r="337">
      <c r="A337" s="1" t="s">
        <v>967</v>
      </c>
      <c r="B337" s="1" t="s">
        <v>968</v>
      </c>
      <c r="C337" s="1" t="s">
        <v>9</v>
      </c>
      <c r="D337" s="1">
        <v>13.755171</v>
      </c>
      <c r="E337" s="1">
        <v>121.056171</v>
      </c>
      <c r="F337" s="1" t="s">
        <v>969</v>
      </c>
      <c r="G337" s="3" t="str">
        <f>IFERROR(__xludf.DUMMYFUNCTION("IF(REGEXMATCH(F337, ""(?:.*,\s*)?([^,]+),\s*([^,]+),\s*Philippines.*""), TRIM(REGEXREPLACE(REGEXREPLACE(F337, ""(?:.*,\s*)?([^,]+),\s*([^,]+),\s*Philippines.*"", ""$1, $2""), ""\d+"", """")), """")"),"Batangas City, Batangas")</f>
        <v>Batangas City, Batangas</v>
      </c>
    </row>
    <row r="338">
      <c r="A338" s="1" t="s">
        <v>970</v>
      </c>
      <c r="B338" s="1" t="s">
        <v>971</v>
      </c>
      <c r="C338" s="1" t="s">
        <v>13</v>
      </c>
      <c r="D338" s="1">
        <v>14.1129933</v>
      </c>
      <c r="E338" s="1">
        <v>121.3947492</v>
      </c>
      <c r="F338" s="1" t="s">
        <v>972</v>
      </c>
      <c r="G338" s="3" t="str">
        <f>IFERROR(__xludf.DUMMYFUNCTION("IF(REGEXMATCH(F338, ""(?:.*,\s*)?([^,]+),\s*([^,]+),\s*Philippines.*""), TRIM(REGEXREPLACE(REGEXREPLACE(F338, ""(?:.*,\s*)?([^,]+),\s*([^,]+),\s*Philippines.*"", ""$1, $2""), ""\d+"", """")), """")"),"Rizal, Laguna")</f>
        <v>Rizal, Laguna</v>
      </c>
    </row>
    <row r="339">
      <c r="A339" s="1" t="s">
        <v>973</v>
      </c>
      <c r="B339" s="1" t="s">
        <v>974</v>
      </c>
      <c r="C339" s="1" t="s">
        <v>9</v>
      </c>
      <c r="D339" s="1">
        <v>12.3490177</v>
      </c>
      <c r="E339" s="1">
        <v>121.0698358</v>
      </c>
      <c r="F339" s="1" t="s">
        <v>975</v>
      </c>
      <c r="G339" s="3" t="str">
        <f>IFERROR(__xludf.DUMMYFUNCTION("IF(REGEXMATCH(F339, ""(?:.*,\s*)?([^,]+),\s*([^,]+),\s*Philippines.*""), TRIM(REGEXREPLACE(REGEXREPLACE(F339, ""(?:.*,\s*)?([^,]+),\s*([^,]+),\s*Philippines.*"", ""$1, $2""), ""\d+"", """")), """")"),"San Jose, Occidental Mindoro")</f>
        <v>San Jose, Occidental Mindoro</v>
      </c>
    </row>
    <row r="340">
      <c r="A340" s="1" t="s">
        <v>976</v>
      </c>
      <c r="B340" s="1" t="s">
        <v>977</v>
      </c>
      <c r="C340" s="1" t="s">
        <v>9</v>
      </c>
      <c r="D340" s="1">
        <v>13.9648961</v>
      </c>
      <c r="E340" s="1">
        <v>121.529946</v>
      </c>
      <c r="F340" s="1" t="s">
        <v>978</v>
      </c>
      <c r="G340" s="3" t="str">
        <f>IFERROR(__xludf.DUMMYFUNCTION("IF(REGEXMATCH(F340, ""(?:.*,\s*)?([^,]+),\s*([^,]+),\s*Philippines.*""), TRIM(REGEXREPLACE(REGEXREPLACE(F340, ""(?:.*,\s*)?([^,]+),\s*([^,]+),\s*Philippines.*"", ""$1, $2""), ""\d+"", """")), """")"),"Sariaya, Quezon")</f>
        <v>Sariaya, Quezon</v>
      </c>
    </row>
    <row r="341">
      <c r="A341" s="1" t="s">
        <v>979</v>
      </c>
      <c r="B341" s="1" t="s">
        <v>980</v>
      </c>
      <c r="C341" s="1" t="s">
        <v>13</v>
      </c>
      <c r="D341" s="1">
        <v>14.5743914</v>
      </c>
      <c r="E341" s="1">
        <v>120.9883486</v>
      </c>
      <c r="F341" s="1" t="s">
        <v>981</v>
      </c>
      <c r="G341" s="3" t="str">
        <f>IFERROR(__xludf.DUMMYFUNCTION("IF(REGEXMATCH(F341, ""(?:.*,\s*)?([^,]+),\s*([^,]+),\s*Philippines.*""), TRIM(REGEXREPLACE(REGEXREPLACE(F341, ""(?:.*,\s*)?([^,]+),\s*([^,]+),\s*Philippines.*"", ""$1, $2""), ""\d+"", """")), """")"),"Manila, Metro Manila")</f>
        <v>Manila, Metro Manila</v>
      </c>
    </row>
    <row r="342">
      <c r="A342" s="1" t="s">
        <v>982</v>
      </c>
      <c r="B342" s="1" t="s">
        <v>983</v>
      </c>
      <c r="C342" s="1" t="s">
        <v>9</v>
      </c>
      <c r="D342" s="1">
        <v>13.8981708</v>
      </c>
      <c r="E342" s="1">
        <v>121.0486554</v>
      </c>
      <c r="F342" s="1" t="s">
        <v>984</v>
      </c>
      <c r="G342" s="3" t="str">
        <f>IFERROR(__xludf.DUMMYFUNCTION("IF(REGEXMATCH(F342, ""(?:.*,\s*)?([^,]+),\s*([^,]+),\s*Philippines.*""), TRIM(REGEXREPLACE(REGEXREPLACE(F342, ""(?:.*,\s*)?([^,]+),\s*([^,]+),\s*Philippines.*"", ""$1, $2""), ""\d+"", """")), """")"),"Cuenca, Batangas")</f>
        <v>Cuenca, Batangas</v>
      </c>
    </row>
    <row r="343">
      <c r="A343" s="1" t="s">
        <v>985</v>
      </c>
      <c r="B343" s="1" t="s">
        <v>986</v>
      </c>
      <c r="C343" s="1" t="s">
        <v>13</v>
      </c>
      <c r="D343" s="1">
        <v>14.3710533</v>
      </c>
      <c r="E343" s="1">
        <v>121.0590899</v>
      </c>
      <c r="F343" s="1" t="s">
        <v>987</v>
      </c>
      <c r="G343" s="3" t="str">
        <f>IFERROR(__xludf.DUMMYFUNCTION("IF(REGEXMATCH(F343, ""(?:.*,\s*)?([^,]+),\s*([^,]+),\s*Philippines.*""), TRIM(REGEXREPLACE(REGEXREPLACE(F343, ""(?:.*,\s*)?([^,]+),\s*([^,]+),\s*Philippines.*"", ""$1, $2""), ""\d+"", """")), """")"),"San Pedro, Laguna")</f>
        <v>San Pedro, Laguna</v>
      </c>
    </row>
    <row r="344">
      <c r="A344" s="1" t="s">
        <v>988</v>
      </c>
      <c r="B344" s="1" t="s">
        <v>989</v>
      </c>
      <c r="C344" s="1" t="s">
        <v>9</v>
      </c>
      <c r="D344" s="1">
        <v>14.2138535</v>
      </c>
      <c r="E344" s="1">
        <v>121.1662847</v>
      </c>
      <c r="F344" s="1" t="s">
        <v>990</v>
      </c>
      <c r="G344" s="3" t="str">
        <f>IFERROR(__xludf.DUMMYFUNCTION("IF(REGEXMATCH(F344, ""(?:.*,\s*)?([^,]+),\s*([^,]+),\s*Philippines.*""), TRIM(REGEXREPLACE(REGEXREPLACE(F344, ""(?:.*,\s*)?([^,]+),\s*([^,]+),\s*Philippines.*"", ""$1, $2""), ""\d+"", """")), """")"),"Calamba, Laguna")</f>
        <v>Calamba, Laguna</v>
      </c>
    </row>
    <row r="345">
      <c r="A345" s="1" t="s">
        <v>991</v>
      </c>
      <c r="B345" s="1" t="s">
        <v>992</v>
      </c>
      <c r="C345" s="1" t="s">
        <v>13</v>
      </c>
      <c r="D345" s="1">
        <v>13.9398562</v>
      </c>
      <c r="E345" s="1">
        <v>120.7919935</v>
      </c>
      <c r="F345" s="1" t="s">
        <v>993</v>
      </c>
      <c r="G345" s="3" t="str">
        <f>IFERROR(__xludf.DUMMYFUNCTION("IF(REGEXMATCH(F345, ""(?:.*,\s*)?([^,]+),\s*([^,]+),\s*Philippines.*""), TRIM(REGEXREPLACE(REGEXREPLACE(F345, ""(?:.*,\s*)?([^,]+),\s*([^,]+),\s*Philippines.*"", ""$1, $2""), ""\d+"", """")), """")"),"Calaca, Batangas")</f>
        <v>Calaca, Batangas</v>
      </c>
    </row>
    <row r="346">
      <c r="A346" s="1" t="s">
        <v>994</v>
      </c>
      <c r="B346" s="1" t="s">
        <v>995</v>
      </c>
      <c r="C346" s="1" t="s">
        <v>13</v>
      </c>
      <c r="D346" s="1">
        <v>14.5423769</v>
      </c>
      <c r="E346" s="1">
        <v>121.1210037</v>
      </c>
      <c r="F346" s="1" t="s">
        <v>996</v>
      </c>
      <c r="G346" s="3" t="str">
        <f>IFERROR(__xludf.DUMMYFUNCTION("IF(REGEXMATCH(F346, ""(?:.*,\s*)?([^,]+),\s*([^,]+),\s*Philippines.*""), TRIM(REGEXREPLACE(REGEXREPLACE(F346, ""(?:.*,\s*)?([^,]+),\s*([^,]+),\s*Philippines.*"", ""$1, $2""), ""\d+"", """")), """")"),"Taytay, Rizal")</f>
        <v>Taytay, Rizal</v>
      </c>
    </row>
    <row r="347">
      <c r="A347" s="1" t="s">
        <v>997</v>
      </c>
      <c r="B347" s="1" t="s">
        <v>998</v>
      </c>
      <c r="C347" s="1" t="s">
        <v>13</v>
      </c>
      <c r="D347" s="1">
        <v>13.9627968</v>
      </c>
      <c r="E347" s="1">
        <v>121.1802815</v>
      </c>
      <c r="F347" s="1" t="s">
        <v>999</v>
      </c>
      <c r="G347" s="3" t="str">
        <f>IFERROR(__xludf.DUMMYFUNCTION("IF(REGEXMATCH(F347, ""(?:.*,\s*)?([^,]+),\s*([^,]+),\s*Philippines.*""), TRIM(REGEXREPLACE(REGEXREPLACE(F347, ""(?:.*,\s*)?([^,]+),\s*([^,]+),\s*Philippines.*"", ""$1, $2""), ""\d+"", """")), """")"),"Lipa City, Batangas")</f>
        <v>Lipa City, Batangas</v>
      </c>
    </row>
    <row r="348">
      <c r="A348" s="1" t="s">
        <v>1000</v>
      </c>
      <c r="B348" s="1" t="s">
        <v>1001</v>
      </c>
      <c r="C348" s="1" t="s">
        <v>13</v>
      </c>
      <c r="D348" s="1">
        <v>13.7416058</v>
      </c>
      <c r="E348" s="1">
        <v>121.2025336</v>
      </c>
      <c r="F348" s="1" t="s">
        <v>1002</v>
      </c>
      <c r="G348" s="3" t="str">
        <f>IFERROR(__xludf.DUMMYFUNCTION("IF(REGEXMATCH(F348, ""(?:.*,\s*)?([^,]+),\s*([^,]+),\s*Philippines.*""), TRIM(REGEXREPLACE(REGEXREPLACE(F348, ""(?:.*,\s*)?([^,]+),\s*([^,]+),\s*Philippines.*"", ""$1, $2""), ""\d+"", """")), """")"),"Taysan, Batangas")</f>
        <v>Taysan, Batangas</v>
      </c>
    </row>
    <row r="349">
      <c r="A349" s="1" t="s">
        <v>1003</v>
      </c>
      <c r="B349" s="1" t="s">
        <v>1004</v>
      </c>
      <c r="C349" s="1" t="s">
        <v>13</v>
      </c>
      <c r="D349" s="1">
        <v>14.9511117</v>
      </c>
      <c r="E349" s="1">
        <v>120.0611707</v>
      </c>
      <c r="F349" s="1" t="s">
        <v>966</v>
      </c>
      <c r="G349" s="3" t="str">
        <f>IFERROR(__xludf.DUMMYFUNCTION("IF(REGEXMATCH(F349, ""(?:.*,\s*)?([^,]+),\s*([^,]+),\s*Philippines.*""), TRIM(REGEXREPLACE(REGEXREPLACE(F349, ""(?:.*,\s*)?([^,]+),\s*([^,]+),\s*Philippines.*"", ""$1, $2""), ""\d+"", """")), """")"),"San Antonio, Zambales")</f>
        <v>San Antonio, Zambales</v>
      </c>
    </row>
    <row r="350">
      <c r="A350" s="1" t="s">
        <v>1005</v>
      </c>
      <c r="B350" s="1" t="s">
        <v>1006</v>
      </c>
      <c r="C350" s="1" t="s">
        <v>13</v>
      </c>
      <c r="D350" s="1">
        <v>14.5751966</v>
      </c>
      <c r="E350" s="1">
        <v>121.1930391</v>
      </c>
      <c r="F350" s="1" t="s">
        <v>1007</v>
      </c>
      <c r="G350" s="3" t="str">
        <f>IFERROR(__xludf.DUMMYFUNCTION("IF(REGEXMATCH(F350, ""(?:.*,\s*)?([^,]+),\s*([^,]+),\s*Philippines.*""), TRIM(REGEXREPLACE(REGEXREPLACE(F350, ""(?:.*,\s*)?([^,]+),\s*([^,]+),\s*Philippines.*"", ""$1, $2""), ""\d+"", """")), """")"),"Antipolo, Rizal")</f>
        <v>Antipolo, Rizal</v>
      </c>
    </row>
    <row r="351">
      <c r="A351" s="1" t="s">
        <v>1008</v>
      </c>
      <c r="B351" s="1" t="s">
        <v>1009</v>
      </c>
      <c r="C351" s="1" t="s">
        <v>13</v>
      </c>
      <c r="D351" s="1">
        <v>14.0690586</v>
      </c>
      <c r="E351" s="1">
        <v>121.3212868</v>
      </c>
      <c r="F351" s="1" t="s">
        <v>1010</v>
      </c>
      <c r="G351" s="3" t="str">
        <f>IFERROR(__xludf.DUMMYFUNCTION("IF(REGEXMATCH(F351, ""(?:.*,\s*)?([^,]+),\s*([^,]+),\s*Philippines.*""), TRIM(REGEXREPLACE(REGEXREPLACE(F351, ""(?:.*,\s*)?([^,]+),\s*([^,]+),\s*Philippines.*"", ""$1, $2""), ""\d+"", """")), """")"),"San Pablo City, Laguna")</f>
        <v>San Pablo City, Laguna</v>
      </c>
    </row>
    <row r="352">
      <c r="A352" s="1" t="s">
        <v>1011</v>
      </c>
      <c r="B352" s="1" t="s">
        <v>1012</v>
      </c>
      <c r="C352" s="1" t="s">
        <v>13</v>
      </c>
      <c r="D352" s="1">
        <v>13.8889288</v>
      </c>
      <c r="E352" s="1">
        <v>121.8932592</v>
      </c>
      <c r="F352" s="1" t="s">
        <v>1013</v>
      </c>
      <c r="G352" s="3" t="str">
        <f>IFERROR(__xludf.DUMMYFUNCTION("IF(REGEXMATCH(F352, ""(?:.*,\s*)?([^,]+),\s*([^,]+),\s*Philippines.*""), TRIM(REGEXREPLACE(REGEXREPLACE(F352, ""(?:.*,\s*)?([^,]+),\s*([^,]+),\s*Philippines.*"", ""$1, $2""), ""\d+"", """")), """")"),"Padre Burgos, Quezon")</f>
        <v>Padre Burgos, Quezon</v>
      </c>
    </row>
    <row r="353">
      <c r="A353" s="1" t="s">
        <v>1014</v>
      </c>
      <c r="B353" s="1" t="s">
        <v>1015</v>
      </c>
      <c r="C353" s="1" t="s">
        <v>13</v>
      </c>
      <c r="D353" s="1">
        <v>11.390069</v>
      </c>
      <c r="E353" s="1">
        <v>122.6804656</v>
      </c>
      <c r="F353" s="1" t="s">
        <v>1016</v>
      </c>
      <c r="G353" s="3" t="str">
        <f>IFERROR(__xludf.DUMMYFUNCTION("IF(REGEXMATCH(F353, ""(?:.*,\s*)?([^,]+),\s*([^,]+),\s*Philippines.*""), TRIM(REGEXREPLACE(REGEXREPLACE(F353, ""(?:.*,\s*)?([^,]+),\s*([^,]+),\s*Philippines.*"", ""$1, $2""), ""\d+"", """")), """")"),"Dao, Capiz")</f>
        <v>Dao, Capiz</v>
      </c>
    </row>
    <row r="354">
      <c r="A354" s="1" t="s">
        <v>1017</v>
      </c>
      <c r="B354" s="1" t="s">
        <v>1018</v>
      </c>
      <c r="C354" s="1" t="s">
        <v>13</v>
      </c>
      <c r="D354" s="1">
        <v>12.879721</v>
      </c>
      <c r="E354" s="1">
        <v>121.774017</v>
      </c>
      <c r="F354" s="1" t="s">
        <v>47</v>
      </c>
      <c r="G354" s="3" t="str">
        <f>IFERROR(__xludf.DUMMYFUNCTION("IF(REGEXMATCH(F354, ""(?:.*,\s*)?([^,]+),\s*([^,]+),\s*Philippines.*""), TRIM(REGEXREPLACE(REGEXREPLACE(F354, ""(?:.*,\s*)?([^,]+),\s*([^,]+),\s*Philippines.*"", ""$1, $2""), ""\d+"", """")), """")"),"")</f>
        <v/>
      </c>
    </row>
    <row r="355">
      <c r="A355" s="1" t="s">
        <v>1019</v>
      </c>
      <c r="B355" s="1" t="s">
        <v>1020</v>
      </c>
      <c r="C355" s="1" t="s">
        <v>13</v>
      </c>
      <c r="D355" s="1">
        <v>14.3191355</v>
      </c>
      <c r="E355" s="1">
        <v>120.9725746</v>
      </c>
      <c r="F355" s="1" t="s">
        <v>1021</v>
      </c>
      <c r="G355" s="3" t="str">
        <f>IFERROR(__xludf.DUMMYFUNCTION("IF(REGEXMATCH(F355, ""(?:.*,\s*)?([^,]+),\s*([^,]+),\s*Philippines.*""), TRIM(REGEXREPLACE(REGEXREPLACE(F355, ""(?:.*,\s*)?([^,]+),\s*([^,]+),\s*Philippines.*"", ""$1, $2""), ""\d+"", """")), """")"),"Dasmariñas, Cavite")</f>
        <v>Dasmariñas, Cavite</v>
      </c>
    </row>
    <row r="356">
      <c r="A356" s="1" t="s">
        <v>1022</v>
      </c>
      <c r="B356" s="1" t="s">
        <v>1023</v>
      </c>
      <c r="C356" s="1" t="s">
        <v>13</v>
      </c>
      <c r="D356" s="1">
        <v>14.3282732</v>
      </c>
      <c r="E356" s="1">
        <v>120.9591939</v>
      </c>
      <c r="F356" s="1" t="s">
        <v>1024</v>
      </c>
      <c r="G356" s="3" t="str">
        <f>IFERROR(__xludf.DUMMYFUNCTION("IF(REGEXMATCH(F356, ""(?:.*,\s*)?([^,]+),\s*([^,]+),\s*Philippines.*""), TRIM(REGEXREPLACE(REGEXREPLACE(F356, ""(?:.*,\s*)?([^,]+),\s*([^,]+),\s*Philippines.*"", ""$1, $2""), ""\d+"", """")), """")"),"Dasmariñas, Cavite")</f>
        <v>Dasmariñas, Cavite</v>
      </c>
    </row>
    <row r="357">
      <c r="A357" s="1" t="s">
        <v>1025</v>
      </c>
      <c r="B357" s="1" t="s">
        <v>1026</v>
      </c>
      <c r="C357" s="1" t="s">
        <v>9</v>
      </c>
      <c r="D357" s="1">
        <v>12.879721</v>
      </c>
      <c r="E357" s="1">
        <v>121.774017</v>
      </c>
      <c r="F357" s="1" t="s">
        <v>47</v>
      </c>
      <c r="G357" s="3" t="str">
        <f>IFERROR(__xludf.DUMMYFUNCTION("IF(REGEXMATCH(F357, ""(?:.*,\s*)?([^,]+),\s*([^,]+),\s*Philippines.*""), TRIM(REGEXREPLACE(REGEXREPLACE(F357, ""(?:.*,\s*)?([^,]+),\s*([^,]+),\s*Philippines.*"", ""$1, $2""), ""\d+"", """")), """")"),"")</f>
        <v/>
      </c>
    </row>
    <row r="358">
      <c r="A358" s="1" t="s">
        <v>1027</v>
      </c>
      <c r="B358" s="1" t="s">
        <v>1028</v>
      </c>
      <c r="C358" s="1" t="s">
        <v>9</v>
      </c>
      <c r="D358" s="1">
        <v>14.4053266</v>
      </c>
      <c r="E358" s="1">
        <v>120.8597367</v>
      </c>
      <c r="F358" s="1" t="s">
        <v>1029</v>
      </c>
      <c r="G358" s="3" t="str">
        <f>IFERROR(__xludf.DUMMYFUNCTION("IF(REGEXMATCH(F358, ""(?:.*,\s*)?([^,]+),\s*([^,]+),\s*Philippines.*""), TRIM(REGEXREPLACE(REGEXREPLACE(F358, ""(?:.*,\s*)?([^,]+),\s*([^,]+),\s*Philippines.*"", ""$1, $2""), ""\d+"", """")), """")"),"Rosario, Cavite")</f>
        <v>Rosario, Cavite</v>
      </c>
    </row>
    <row r="359">
      <c r="A359" s="1" t="s">
        <v>1030</v>
      </c>
      <c r="B359" s="1" t="s">
        <v>1031</v>
      </c>
      <c r="C359" s="1" t="s">
        <v>13</v>
      </c>
      <c r="D359" s="1">
        <v>14.1478328</v>
      </c>
      <c r="E359" s="1">
        <v>121.3123287</v>
      </c>
      <c r="F359" s="1" t="s">
        <v>1032</v>
      </c>
      <c r="G359" s="3" t="str">
        <f>IFERROR(__xludf.DUMMYFUNCTION("IF(REGEXMATCH(F359, ""(?:.*,\s*)?([^,]+),\s*([^,]+),\s*Philippines.*""), TRIM(REGEXREPLACE(REGEXREPLACE(F359, ""(?:.*,\s*)?([^,]+),\s*([^,]+),\s*Philippines.*"", ""$1, $2""), ""\d+"", """")), """")"),"Calauan, Laguna")</f>
        <v>Calauan, Laguna</v>
      </c>
    </row>
    <row r="360">
      <c r="A360" s="1" t="s">
        <v>1033</v>
      </c>
      <c r="B360" s="1" t="s">
        <v>1034</v>
      </c>
      <c r="C360" s="1" t="s">
        <v>9</v>
      </c>
      <c r="D360" s="1">
        <v>14.2456329</v>
      </c>
      <c r="E360" s="1">
        <v>120.8785658</v>
      </c>
      <c r="F360" s="1" t="s">
        <v>845</v>
      </c>
      <c r="G360" s="3" t="str">
        <f>IFERROR(__xludf.DUMMYFUNCTION("IF(REGEXMATCH(F360, ""(?:.*,\s*)?([^,]+),\s*([^,]+),\s*Philippines.*""), TRIM(REGEXREPLACE(REGEXREPLACE(F360, ""(?:.*,\s*)?([^,]+),\s*([^,]+),\s*Philippines.*"", ""$1, $2""), ""\d+"", """")), """")"),"")</f>
        <v/>
      </c>
    </row>
    <row r="361">
      <c r="A361" s="1" t="s">
        <v>1035</v>
      </c>
      <c r="B361" s="1" t="s">
        <v>1036</v>
      </c>
      <c r="C361" s="1" t="s">
        <v>9</v>
      </c>
      <c r="D361" s="1">
        <v>14.2454</v>
      </c>
      <c r="E361" s="1">
        <v>121.508003</v>
      </c>
      <c r="F361" s="1" t="s">
        <v>1037</v>
      </c>
      <c r="G361" s="3" t="str">
        <f>IFERROR(__xludf.DUMMYFUNCTION("IF(REGEXMATCH(F361, ""(?:.*,\s*)?([^,]+),\s*([^,]+),\s*Philippines.*""), TRIM(REGEXREPLACE(REGEXREPLACE(F361, ""(?:.*,\s*)?([^,]+),\s*([^,]+),\s*Philippines.*"", ""$1, $2""), ""\d+"", """")), """")"),"Cavinti, Laguna")</f>
        <v>Cavinti, Laguna</v>
      </c>
    </row>
    <row r="362">
      <c r="A362" s="1" t="s">
        <v>1038</v>
      </c>
      <c r="B362" s="1" t="s">
        <v>1039</v>
      </c>
      <c r="C362" s="1" t="s">
        <v>13</v>
      </c>
      <c r="D362" s="1">
        <v>14.4283795</v>
      </c>
      <c r="E362" s="1">
        <v>120.9391449</v>
      </c>
      <c r="F362" s="1" t="s">
        <v>1040</v>
      </c>
      <c r="G362" s="3" t="str">
        <f>IFERROR(__xludf.DUMMYFUNCTION("IF(REGEXMATCH(F362, ""(?:.*,\s*)?([^,]+),\s*([^,]+),\s*Philippines.*""), TRIM(REGEXREPLACE(REGEXREPLACE(F362, ""(?:.*,\s*)?([^,]+),\s*([^,]+),\s*Philippines.*"", ""$1, $2""), ""\d+"", """")), """")"),"Imus, Cavite")</f>
        <v>Imus, Cavite</v>
      </c>
    </row>
    <row r="363">
      <c r="A363" s="1" t="s">
        <v>1041</v>
      </c>
      <c r="B363" s="1" t="s">
        <v>1042</v>
      </c>
      <c r="C363" s="1" t="s">
        <v>13</v>
      </c>
      <c r="D363" s="1">
        <v>14.5902921</v>
      </c>
      <c r="E363" s="1">
        <v>121.1702893</v>
      </c>
      <c r="F363" s="1" t="s">
        <v>1043</v>
      </c>
      <c r="G363" s="3" t="str">
        <f>IFERROR(__xludf.DUMMYFUNCTION("IF(REGEXMATCH(F363, ""(?:.*,\s*)?([^,]+),\s*([^,]+),\s*Philippines.*""), TRIM(REGEXREPLACE(REGEXREPLACE(F363, ""(?:.*,\s*)?([^,]+),\s*([^,]+),\s*Philippines.*"", ""$1, $2""), ""\d+"", """")), """")"),"Antipolo, Rizal")</f>
        <v>Antipolo, Rizal</v>
      </c>
    </row>
    <row r="364">
      <c r="A364" s="1" t="s">
        <v>1044</v>
      </c>
      <c r="B364" s="1" t="s">
        <v>1045</v>
      </c>
      <c r="C364" s="1" t="s">
        <v>9</v>
      </c>
      <c r="D364" s="1">
        <v>14.5744565</v>
      </c>
      <c r="E364" s="1">
        <v>121.1089307</v>
      </c>
      <c r="F364" s="1" t="s">
        <v>1046</v>
      </c>
      <c r="G364" s="3" t="str">
        <f>IFERROR(__xludf.DUMMYFUNCTION("IF(REGEXMATCH(F364, ""(?:.*,\s*)?([^,]+),\s*([^,]+),\s*Philippines.*""), TRIM(REGEXREPLACE(REGEXREPLACE(F364, ""(?:.*,\s*)?([^,]+),\s*([^,]+),\s*Philippines.*"", ""$1, $2""), ""\d+"", """")), """")"),"Cainta, Rizal")</f>
        <v>Cainta, Rizal</v>
      </c>
    </row>
    <row r="365">
      <c r="A365" s="1" t="s">
        <v>1047</v>
      </c>
      <c r="B365" s="1" t="s">
        <v>1048</v>
      </c>
      <c r="C365" s="1" t="s">
        <v>9</v>
      </c>
      <c r="D365" s="1">
        <v>13.9608087</v>
      </c>
      <c r="E365" s="1">
        <v>121.5974272</v>
      </c>
      <c r="F365" s="1" t="s">
        <v>1049</v>
      </c>
      <c r="G365" s="3" t="str">
        <f>IFERROR(__xludf.DUMMYFUNCTION("IF(REGEXMATCH(F365, ""(?:.*,\s*)?([^,]+),\s*([^,]+),\s*Philippines.*""), TRIM(REGEXREPLACE(REGEXREPLACE(F365, ""(?:.*,\s*)?([^,]+),\s*([^,]+),\s*Philippines.*"", ""$1, $2""), ""\d+"", """")), """")"),"Lucena City, Quezon")</f>
        <v>Lucena City, Quezon</v>
      </c>
    </row>
    <row r="366">
      <c r="A366" s="1" t="s">
        <v>1050</v>
      </c>
      <c r="B366" s="1" t="s">
        <v>1051</v>
      </c>
      <c r="C366" s="1" t="s">
        <v>13</v>
      </c>
      <c r="D366" s="1">
        <v>14.080859</v>
      </c>
      <c r="E366" s="1">
        <v>121.1539281</v>
      </c>
      <c r="F366" s="1" t="s">
        <v>1052</v>
      </c>
      <c r="G366" s="3" t="str">
        <f>IFERROR(__xludf.DUMMYFUNCTION("IF(REGEXMATCH(F366, ""(?:.*,\s*)?([^,]+),\s*([^,]+),\s*Philippines.*""), TRIM(REGEXREPLACE(REGEXREPLACE(F366, ""(?:.*,\s*)?([^,]+),\s*([^,]+),\s*Philippines.*"", ""$1, $2""), ""\d+"", """")), """")"),"Tanauan City, Batangas")</f>
        <v>Tanauan City, Batangas</v>
      </c>
    </row>
    <row r="367">
      <c r="A367" s="1" t="s">
        <v>1053</v>
      </c>
      <c r="B367" s="1" t="s">
        <v>1054</v>
      </c>
      <c r="C367" s="1" t="s">
        <v>13</v>
      </c>
      <c r="D367" s="1">
        <v>13.4480693</v>
      </c>
      <c r="E367" s="1">
        <v>122.463708</v>
      </c>
      <c r="F367" s="1" t="s">
        <v>1055</v>
      </c>
      <c r="G367" s="3" t="str">
        <f>IFERROR(__xludf.DUMMYFUNCTION("IF(REGEXMATCH(F367, ""(?:.*,\s*)?([^,]+),\s*([^,]+),\s*Philippines.*""), TRIM(REGEXREPLACE(REGEXREPLACE(F367, ""(?:.*,\s*)?([^,]+),\s*([^,]+),\s*Philippines.*"", ""$1, $2""), ""\d+"", """")), """")"),"Mulanay, Quezon")</f>
        <v>Mulanay, Quezon</v>
      </c>
    </row>
    <row r="368">
      <c r="A368" s="1" t="s">
        <v>1056</v>
      </c>
      <c r="C368" s="1" t="s">
        <v>13</v>
      </c>
      <c r="D368" s="1">
        <v>12.879721</v>
      </c>
      <c r="E368" s="1">
        <v>121.774017</v>
      </c>
      <c r="F368" s="1" t="s">
        <v>47</v>
      </c>
      <c r="G368" s="3" t="str">
        <f>IFERROR(__xludf.DUMMYFUNCTION("IF(REGEXMATCH(F368, ""(?:.*,\s*)?([^,]+),\s*([^,]+),\s*Philippines.*""), TRIM(REGEXREPLACE(REGEXREPLACE(F368, ""(?:.*,\s*)?([^,]+),\s*([^,]+),\s*Philippines.*"", ""$1, $2""), ""\d+"", """")), """")"),"")</f>
        <v/>
      </c>
    </row>
    <row r="369">
      <c r="A369" s="1" t="s">
        <v>1057</v>
      </c>
      <c r="B369" s="1" t="s">
        <v>1058</v>
      </c>
      <c r="C369" s="1" t="s">
        <v>13</v>
      </c>
      <c r="D369" s="1">
        <v>13.9102564</v>
      </c>
      <c r="E369" s="1">
        <v>121.4140324</v>
      </c>
      <c r="F369" s="1" t="s">
        <v>1059</v>
      </c>
      <c r="G369" s="3" t="str">
        <f>IFERROR(__xludf.DUMMYFUNCTION("IF(REGEXMATCH(F369, ""(?:.*,\s*)?([^,]+),\s*([^,]+),\s*Philippines.*""), TRIM(REGEXREPLACE(REGEXREPLACE(F369, ""(?:.*,\s*)?([^,]+),\s*([^,]+),\s*Philippines.*"", ""$1, $2""), ""\d+"", """")), """")"),"Candelaria, Quezon")</f>
        <v>Candelaria, Quezon</v>
      </c>
    </row>
    <row r="370">
      <c r="A370" s="1" t="s">
        <v>1060</v>
      </c>
      <c r="B370" s="1" t="s">
        <v>1061</v>
      </c>
      <c r="C370" s="1" t="s">
        <v>9</v>
      </c>
      <c r="D370" s="1">
        <v>14.281521</v>
      </c>
      <c r="E370" s="1">
        <v>121.0991007</v>
      </c>
      <c r="F370" s="1" t="s">
        <v>1062</v>
      </c>
      <c r="G370" s="3" t="str">
        <f>IFERROR(__xludf.DUMMYFUNCTION("IF(REGEXMATCH(F370, ""(?:.*,\s*)?([^,]+),\s*([^,]+),\s*Philippines.*""), TRIM(REGEXREPLACE(REGEXREPLACE(F370, ""(?:.*,\s*)?([^,]+),\s*([^,]+),\s*Philippines.*"", ""$1, $2""), ""\d+"", """")), """")"),"City of Santa Rosa, Laguna")</f>
        <v>City of Santa Rosa, Laguna</v>
      </c>
    </row>
    <row r="371">
      <c r="A371" s="1" t="s">
        <v>1063</v>
      </c>
      <c r="B371" s="1" t="s">
        <v>1064</v>
      </c>
      <c r="C371" s="1" t="s">
        <v>9</v>
      </c>
      <c r="D371" s="1">
        <v>14.2107047</v>
      </c>
      <c r="E371" s="1">
        <v>121.1153379</v>
      </c>
      <c r="F371" s="1" t="s">
        <v>1065</v>
      </c>
      <c r="G371" s="3" t="str">
        <f>IFERROR(__xludf.DUMMYFUNCTION("IF(REGEXMATCH(F371, ""(?:.*,\s*)?([^,]+),\s*([^,]+),\s*Philippines.*""), TRIM(REGEXREPLACE(REGEXREPLACE(F371, ""(?:.*,\s*)?([^,]+),\s*([^,]+),\s*Philippines.*"", ""$1, $2""), ""\d+"", """")), """")"),"Calamba, Laguna")</f>
        <v>Calamba, Laguna</v>
      </c>
    </row>
    <row r="372">
      <c r="A372" s="1" t="s">
        <v>1066</v>
      </c>
      <c r="B372" s="1" t="s">
        <v>1067</v>
      </c>
      <c r="C372" s="1" t="s">
        <v>9</v>
      </c>
      <c r="D372" s="1">
        <v>14.5656805</v>
      </c>
      <c r="E372" s="1">
        <v>121.0320766</v>
      </c>
      <c r="F372" s="1" t="s">
        <v>489</v>
      </c>
      <c r="G372" s="3" t="str">
        <f>IFERROR(__xludf.DUMMYFUNCTION("IF(REGEXMATCH(F372, ""(?:.*,\s*)?([^,]+),\s*([^,]+),\s*Philippines.*""), TRIM(REGEXREPLACE(REGEXREPLACE(F372, ""(?:.*,\s*)?([^,]+),\s*([^,]+),\s*Philippines.*"", ""$1, $2""), ""\d+"", """")), """")"),"Makati City, Metro Manila")</f>
        <v>Makati City, Metro Manila</v>
      </c>
    </row>
    <row r="373">
      <c r="A373" s="1" t="s">
        <v>1068</v>
      </c>
      <c r="B373" s="1" t="s">
        <v>1069</v>
      </c>
      <c r="C373" s="1" t="s">
        <v>13</v>
      </c>
      <c r="D373" s="1">
        <v>14.2543978</v>
      </c>
      <c r="E373" s="1">
        <v>121.064316</v>
      </c>
      <c r="F373" s="1" t="s">
        <v>1070</v>
      </c>
      <c r="G373" s="3" t="str">
        <f>IFERROR(__xludf.DUMMYFUNCTION("IF(REGEXMATCH(F373, ""(?:.*,\s*)?([^,]+),\s*([^,]+),\s*Philippines.*""), TRIM(REGEXREPLACE(REGEXREPLACE(F373, ""(?:.*,\s*)?([^,]+),\s*([^,]+),\s*Philippines.*"", ""$1, $2""), ""\d+"", """")), """")"),"City of Santa Rosa, Laguna")</f>
        <v>City of Santa Rosa, Laguna</v>
      </c>
    </row>
    <row r="374">
      <c r="A374" s="1" t="s">
        <v>1071</v>
      </c>
      <c r="B374" s="1" t="s">
        <v>1072</v>
      </c>
      <c r="C374" s="1" t="s">
        <v>13</v>
      </c>
      <c r="D374" s="1">
        <v>14.8413279</v>
      </c>
      <c r="E374" s="1">
        <v>120.8363797</v>
      </c>
      <c r="F374" s="1" t="s">
        <v>1073</v>
      </c>
      <c r="G374" s="3" t="str">
        <f>IFERROR(__xludf.DUMMYFUNCTION("IF(REGEXMATCH(F374, ""(?:.*,\s*)?([^,]+),\s*([^,]+),\s*Philippines.*""), TRIM(REGEXREPLACE(REGEXREPLACE(F374, ""(?:.*,\s*)?([^,]+),\s*([^,]+),\s*Philippines.*"", ""$1, $2""), ""\d+"", """")), """")"),"Malolos, Bulacan")</f>
        <v>Malolos, Bulacan</v>
      </c>
    </row>
    <row r="375">
      <c r="A375" s="1" t="s">
        <v>1074</v>
      </c>
      <c r="C375" s="1" t="s">
        <v>13</v>
      </c>
      <c r="D375" s="1">
        <v>12.879721</v>
      </c>
      <c r="E375" s="1">
        <v>121.774017</v>
      </c>
      <c r="F375" s="1" t="s">
        <v>47</v>
      </c>
      <c r="G375" s="3" t="str">
        <f>IFERROR(__xludf.DUMMYFUNCTION("IF(REGEXMATCH(F375, ""(?:.*,\s*)?([^,]+),\s*([^,]+),\s*Philippines.*""), TRIM(REGEXREPLACE(REGEXREPLACE(F375, ""(?:.*,\s*)?([^,]+),\s*([^,]+),\s*Philippines.*"", ""$1, $2""), ""\d+"", """")), """")"),"")</f>
        <v/>
      </c>
    </row>
    <row r="376">
      <c r="A376" s="1" t="s">
        <v>1075</v>
      </c>
      <c r="C376" s="1" t="s">
        <v>13</v>
      </c>
      <c r="D376" s="1">
        <v>13.6776343</v>
      </c>
      <c r="E376" s="1">
        <v>122.2991004</v>
      </c>
      <c r="F376" s="1" t="s">
        <v>1076</v>
      </c>
      <c r="G376" s="3" t="str">
        <f>IFERROR(__xludf.DUMMYFUNCTION("IF(REGEXMATCH(F376, ""(?:.*,\s*)?([^,]+),\s*([^,]+),\s*Philippines.*""), TRIM(REGEXREPLACE(REGEXREPLACE(F376, ""(?:.*,\s*)?([^,]+),\s*([^,]+),\s*Philippines.*"", ""$1, $2""), ""\d+"", """")), """")"),"Catanauan, Quezon")</f>
        <v>Catanauan, Quezon</v>
      </c>
    </row>
    <row r="377">
      <c r="A377" s="1" t="s">
        <v>1077</v>
      </c>
      <c r="B377" s="1" t="s">
        <v>1078</v>
      </c>
      <c r="C377" s="1" t="s">
        <v>13</v>
      </c>
      <c r="D377" s="1">
        <v>14.0652711</v>
      </c>
      <c r="E377" s="1">
        <v>121.0936983</v>
      </c>
      <c r="F377" s="1" t="s">
        <v>1079</v>
      </c>
      <c r="G377" s="3" t="str">
        <f>IFERROR(__xludf.DUMMYFUNCTION("IF(REGEXMATCH(F377, ""(?:.*,\s*)?([^,]+),\s*([^,]+),\s*Philippines.*""), TRIM(REGEXREPLACE(REGEXREPLACE(F377, ""(?:.*,\s*)?([^,]+),\s*([^,]+),\s*Philippines.*"", ""$1, $2""), ""\d+"", """")), """")"),"Tanauan City, Batangas")</f>
        <v>Tanauan City, Batangas</v>
      </c>
    </row>
    <row r="378">
      <c r="A378" s="1" t="s">
        <v>1080</v>
      </c>
      <c r="B378" s="1" t="s">
        <v>1081</v>
      </c>
      <c r="C378" s="1" t="s">
        <v>13</v>
      </c>
      <c r="D378" s="1">
        <v>13.9156665</v>
      </c>
      <c r="E378" s="1">
        <v>122.3055557</v>
      </c>
      <c r="F378" s="1" t="s">
        <v>1082</v>
      </c>
      <c r="G378" s="3" t="str">
        <f>IFERROR(__xludf.DUMMYFUNCTION("IF(REGEXMATCH(F378, ""(?:.*,\s*)?([^,]+),\s*([^,]+),\s*Philippines.*""), TRIM(REGEXREPLACE(REGEXREPLACE(F378, ""(?:.*,\s*)?([^,]+),\s*([^,]+),\s*Philippines.*"", ""$1, $2""), ""\d+"", """")), """")"),"Calauag, Quezon")</f>
        <v>Calauag, Quezon</v>
      </c>
    </row>
    <row r="379">
      <c r="A379" s="1" t="s">
        <v>1083</v>
      </c>
      <c r="B379" s="1" t="s">
        <v>1084</v>
      </c>
      <c r="C379" s="1" t="s">
        <v>13</v>
      </c>
      <c r="D379" s="1">
        <v>13.8567968</v>
      </c>
      <c r="E379" s="1">
        <v>121.0765048</v>
      </c>
      <c r="F379" s="1" t="s">
        <v>1085</v>
      </c>
      <c r="G379" s="3" t="str">
        <f>IFERROR(__xludf.DUMMYFUNCTION("IF(REGEXMATCH(F379, ""(?:.*,\s*)?([^,]+),\s*([^,]+),\s*Philippines.*""), TRIM(REGEXREPLACE(REGEXREPLACE(F379, ""(?:.*,\s*)?([^,]+),\s*([^,]+),\s*Philippines.*"", ""$1, $2""), ""\d+"", """")), """")"),"San Jose, Batangas")</f>
        <v>San Jose, Batangas</v>
      </c>
    </row>
    <row r="380">
      <c r="A380" s="1" t="s">
        <v>1086</v>
      </c>
      <c r="B380" s="1" t="s">
        <v>1087</v>
      </c>
      <c r="C380" s="1" t="s">
        <v>9</v>
      </c>
      <c r="D380" s="1">
        <v>14.0221988</v>
      </c>
      <c r="E380" s="1">
        <v>120.7277884</v>
      </c>
      <c r="F380" s="1" t="s">
        <v>1088</v>
      </c>
      <c r="G380" s="3" t="str">
        <f>IFERROR(__xludf.DUMMYFUNCTION("IF(REGEXMATCH(F380, ""(?:.*,\s*)?([^,]+),\s*([^,]+),\s*Philippines.*""), TRIM(REGEXREPLACE(REGEXREPLACE(F380, ""(?:.*,\s*)?([^,]+),\s*([^,]+),\s*Philippines.*"", ""$1, $2""), ""\d+"", """")), """")"),"Tuy, Batangas")</f>
        <v>Tuy, Batangas</v>
      </c>
    </row>
    <row r="381">
      <c r="A381" s="1" t="s">
        <v>1089</v>
      </c>
      <c r="B381" s="1" t="s">
        <v>1090</v>
      </c>
      <c r="C381" s="1" t="s">
        <v>9</v>
      </c>
      <c r="D381" s="1">
        <v>14.3383991</v>
      </c>
      <c r="E381" s="1">
        <v>120.9560987</v>
      </c>
      <c r="F381" s="1" t="s">
        <v>1091</v>
      </c>
      <c r="G381" s="3" t="str">
        <f>IFERROR(__xludf.DUMMYFUNCTION("IF(REGEXMATCH(F381, ""(?:.*,\s*)?([^,]+),\s*([^,]+),\s*Philippines.*""), TRIM(REGEXREPLACE(REGEXREPLACE(F381, ""(?:.*,\s*)?([^,]+),\s*([^,]+),\s*Philippines.*"", ""$1, $2""), ""\d+"", """")), """")"),"Dasmariñas, Cavite")</f>
        <v>Dasmariñas, Cavite</v>
      </c>
    </row>
    <row r="382">
      <c r="A382" s="1" t="s">
        <v>1092</v>
      </c>
      <c r="B382" s="1" t="s">
        <v>1093</v>
      </c>
      <c r="C382" s="1" t="s">
        <v>13</v>
      </c>
      <c r="D382" s="1">
        <v>13.8293036</v>
      </c>
      <c r="E382" s="1">
        <v>121.1359989</v>
      </c>
      <c r="F382" s="1" t="s">
        <v>1094</v>
      </c>
      <c r="G382" s="3" t="str">
        <f>IFERROR(__xludf.DUMMYFUNCTION("IF(REGEXMATCH(F382, ""(?:.*,\s*)?([^,]+),\s*([^,]+),\s*Philippines.*""), TRIM(REGEXREPLACE(REGEXREPLACE(F382, ""(?:.*,\s*)?([^,]+),\s*([^,]+),\s*Philippines.*"", ""$1, $2""), ""\d+"", """")), """")"),"Ibaan, Batangas")</f>
        <v>Ibaan, Batangas</v>
      </c>
    </row>
    <row r="383">
      <c r="A383" s="1" t="s">
        <v>1095</v>
      </c>
      <c r="B383" s="1" t="s">
        <v>1096</v>
      </c>
      <c r="C383" s="1" t="s">
        <v>13</v>
      </c>
      <c r="D383" s="1">
        <v>14.1855316</v>
      </c>
      <c r="E383" s="1">
        <v>121.7287936</v>
      </c>
      <c r="F383" s="1" t="s">
        <v>1097</v>
      </c>
      <c r="G383" s="3" t="str">
        <f>IFERROR(__xludf.DUMMYFUNCTION("IF(REGEXMATCH(F383, ""(?:.*,\s*)?([^,]+),\s*([^,]+),\s*Philippines.*""), TRIM(REGEXREPLACE(REGEXREPLACE(F383, ""(?:.*,\s*)?([^,]+),\s*([^,]+),\s*Philippines.*"", ""$1, $2""), ""\d+"", """")), """")"),"Mauban, Quezon")</f>
        <v>Mauban, Quezon</v>
      </c>
    </row>
    <row r="384">
      <c r="A384" s="1" t="s">
        <v>1098</v>
      </c>
      <c r="B384" s="1" t="s">
        <v>1099</v>
      </c>
      <c r="C384" s="1" t="s">
        <v>13</v>
      </c>
      <c r="D384" s="1">
        <v>13.9378465</v>
      </c>
      <c r="E384" s="1">
        <v>121.4527751</v>
      </c>
      <c r="F384" s="1" t="s">
        <v>1100</v>
      </c>
      <c r="G384" s="3" t="str">
        <f>IFERROR(__xludf.DUMMYFUNCTION("IF(REGEXMATCH(F384, ""(?:.*,\s*)?([^,]+),\s*([^,]+),\s*Philippines.*""), TRIM(REGEXREPLACE(REGEXREPLACE(F384, ""(?:.*,\s*)?([^,]+),\s*([^,]+),\s*Philippines.*"", ""$1, $2""), ""\d+"", """")), """")"),"Candelaria, Quezon")</f>
        <v>Candelaria, Quezon</v>
      </c>
    </row>
    <row r="385">
      <c r="A385" s="1" t="s">
        <v>1101</v>
      </c>
      <c r="B385" s="1" t="s">
        <v>1102</v>
      </c>
      <c r="C385" s="1" t="s">
        <v>13</v>
      </c>
      <c r="D385" s="1">
        <v>14.5445561</v>
      </c>
      <c r="E385" s="1">
        <v>121.1584909</v>
      </c>
      <c r="F385" s="1" t="s">
        <v>1103</v>
      </c>
      <c r="G385" s="3" t="str">
        <f>IFERROR(__xludf.DUMMYFUNCTION("IF(REGEXMATCH(F385, ""(?:.*,\s*)?([^,]+),\s*([^,]+),\s*Philippines.*""), TRIM(REGEXREPLACE(REGEXREPLACE(F385, ""(?:.*,\s*)?([^,]+),\s*([^,]+),\s*Philippines.*"", ""$1, $2""), ""\d+"", """")), """")"),"Angono, Rizal")</f>
        <v>Angono, Rizal</v>
      </c>
    </row>
    <row r="386">
      <c r="A386" s="1" t="s">
        <v>1104</v>
      </c>
      <c r="B386" s="1" t="s">
        <v>1105</v>
      </c>
      <c r="C386" s="1" t="s">
        <v>13</v>
      </c>
      <c r="D386" s="1">
        <v>13.3711925</v>
      </c>
      <c r="E386" s="1">
        <v>122.5080496</v>
      </c>
      <c r="F386" s="1" t="s">
        <v>1106</v>
      </c>
      <c r="G386" s="3" t="str">
        <f>IFERROR(__xludf.DUMMYFUNCTION("IF(REGEXMATCH(F386, ""(?:.*,\s*)?([^,]+),\s*([^,]+),\s*Philippines.*""), TRIM(REGEXREPLACE(REGEXREPLACE(F386, ""(?:.*,\s*)?([^,]+),\s*([^,]+),\s*Philippines.*"", ""$1, $2""), ""\d+"", """")), """")"),"San Francisco (Aurora), Quezon")</f>
        <v>San Francisco (Aurora), Quezon</v>
      </c>
    </row>
    <row r="387">
      <c r="A387" s="1" t="s">
        <v>1107</v>
      </c>
      <c r="B387" s="1" t="s">
        <v>1108</v>
      </c>
      <c r="C387" s="1" t="s">
        <v>13</v>
      </c>
      <c r="D387" s="1">
        <v>13.8625945</v>
      </c>
      <c r="E387" s="1">
        <v>122.4212424</v>
      </c>
      <c r="F387" s="1" t="s">
        <v>1109</v>
      </c>
      <c r="G387" s="3" t="str">
        <f>IFERROR(__xludf.DUMMYFUNCTION("IF(REGEXMATCH(F387, ""(?:.*,\s*)?([^,]+),\s*([^,]+),\s*Philippines.*""), TRIM(REGEXREPLACE(REGEXREPLACE(F387, ""(?:.*,\s*)?([^,]+),\s*([^,]+),\s*Philippines.*"", ""$1, $2""), ""\d+"", """")), """")"),"Guinayangan, Quezon")</f>
        <v>Guinayangan, Quezon</v>
      </c>
    </row>
    <row r="388">
      <c r="A388" s="1" t="s">
        <v>1110</v>
      </c>
      <c r="B388" s="1" t="s">
        <v>1111</v>
      </c>
      <c r="C388" s="1" t="s">
        <v>9</v>
      </c>
      <c r="D388" s="1">
        <v>14.2601269</v>
      </c>
      <c r="E388" s="1">
        <v>121.1538564</v>
      </c>
      <c r="F388" s="1" t="s">
        <v>1112</v>
      </c>
      <c r="G388" s="3" t="str">
        <f>IFERROR(__xludf.DUMMYFUNCTION("IF(REGEXMATCH(F388, ""(?:.*,\s*)?([^,]+),\s*([^,]+),\s*Philippines.*""), TRIM(REGEXREPLACE(REGEXREPLACE(F388, ""(?:.*,\s*)?([^,]+),\s*([^,]+),\s*Philippines.*"", ""$1, $2""), ""\d+"", """")), """")"),"Cabuyao City, Laguna")</f>
        <v>Cabuyao City, Laguna</v>
      </c>
    </row>
    <row r="389">
      <c r="A389" s="1" t="s">
        <v>1113</v>
      </c>
      <c r="B389" s="1" t="s">
        <v>1114</v>
      </c>
      <c r="C389" s="1" t="s">
        <v>9</v>
      </c>
      <c r="D389" s="1">
        <v>14.5097128</v>
      </c>
      <c r="E389" s="1">
        <v>121.2418032</v>
      </c>
      <c r="F389" s="1" t="s">
        <v>1115</v>
      </c>
      <c r="G389" s="3" t="str">
        <f>IFERROR(__xludf.DUMMYFUNCTION("IF(REGEXMATCH(F389, ""(?:.*,\s*)?([^,]+),\s*([^,]+),\s*Philippines.*""), TRIM(REGEXREPLACE(REGEXREPLACE(F389, ""(?:.*,\s*)?([^,]+),\s*([^,]+),\s*Philippines.*"", ""$1, $2""), ""\d+"", """")), """")"),"Morong, Rizal")</f>
        <v>Morong, Rizal</v>
      </c>
    </row>
    <row r="390">
      <c r="A390" s="1" t="s">
        <v>1116</v>
      </c>
      <c r="B390" s="1" t="s">
        <v>1117</v>
      </c>
      <c r="C390" s="1" t="s">
        <v>9</v>
      </c>
      <c r="D390" s="1">
        <v>14.6176812</v>
      </c>
      <c r="E390" s="1">
        <v>121.0992051</v>
      </c>
      <c r="F390" s="1" t="s">
        <v>1118</v>
      </c>
      <c r="G390" s="3" t="str">
        <f>IFERROR(__xludf.DUMMYFUNCTION("IF(REGEXMATCH(F390, ""(?:.*,\s*)?([^,]+),\s*([^,]+),\s*Philippines.*""), TRIM(REGEXREPLACE(REGEXREPLACE(F390, ""(?:.*,\s*)?([^,]+),\s*([^,]+),\s*Philippines.*"", ""$1, $2""), ""\d+"", """")), """")"),"Pasig, Rizal")</f>
        <v>Pasig, Rizal</v>
      </c>
    </row>
    <row r="391">
      <c r="A391" s="1" t="s">
        <v>1119</v>
      </c>
      <c r="B391" s="1" t="s">
        <v>1120</v>
      </c>
      <c r="C391" s="1" t="s">
        <v>13</v>
      </c>
      <c r="D391" s="1">
        <v>14.416718</v>
      </c>
      <c r="E391" s="1">
        <v>120.8547068</v>
      </c>
      <c r="F391" s="1" t="s">
        <v>1121</v>
      </c>
      <c r="G391" s="3" t="str">
        <f>IFERROR(__xludf.DUMMYFUNCTION("IF(REGEXMATCH(F391, ""(?:.*,\s*)?([^,]+),\s*([^,]+),\s*Philippines.*""), TRIM(REGEXREPLACE(REGEXREPLACE(F391, ""(?:.*,\s*)?([^,]+),\s*([^,]+),\s*Philippines.*"", ""$1, $2""), ""\d+"", """")), """")"),"Rosario, Cavite")</f>
        <v>Rosario, Cavite</v>
      </c>
    </row>
    <row r="392">
      <c r="A392" s="1" t="s">
        <v>1122</v>
      </c>
      <c r="B392" s="1" t="s">
        <v>1123</v>
      </c>
      <c r="C392" s="1" t="s">
        <v>9</v>
      </c>
      <c r="D392" s="1">
        <v>14.7339357</v>
      </c>
      <c r="E392" s="1">
        <v>121.1440127</v>
      </c>
      <c r="F392" s="1" t="s">
        <v>1124</v>
      </c>
      <c r="G392" s="3" t="str">
        <f>IFERROR(__xludf.DUMMYFUNCTION("IF(REGEXMATCH(F392, ""(?:.*,\s*)?([^,]+),\s*([^,]+),\s*Philippines.*""), TRIM(REGEXREPLACE(REGEXREPLACE(F392, ""(?:.*,\s*)?([^,]+),\s*([^,]+),\s*Philippines.*"", ""$1, $2""), ""\d+"", """")), """")"),"Rodriguez, Rizal")</f>
        <v>Rodriguez, Rizal</v>
      </c>
    </row>
    <row r="393">
      <c r="A393" s="1" t="s">
        <v>1125</v>
      </c>
      <c r="B393" s="1" t="s">
        <v>1126</v>
      </c>
      <c r="C393" s="1" t="s">
        <v>13</v>
      </c>
      <c r="D393" s="1">
        <v>14.1798154</v>
      </c>
      <c r="E393" s="1">
        <v>121.1788239</v>
      </c>
      <c r="F393" s="1" t="s">
        <v>1127</v>
      </c>
      <c r="G393" s="3" t="str">
        <f>IFERROR(__xludf.DUMMYFUNCTION("IF(REGEXMATCH(F393, ""(?:.*,\s*)?([^,]+),\s*([^,]+),\s*Philippines.*""), TRIM(REGEXREPLACE(REGEXREPLACE(F393, ""(?:.*,\s*)?([^,]+),\s*([^,]+),\s*Philippines.*"", ""$1, $2""), ""\d+"", """")), """")"),"Calamba, Laguna")</f>
        <v>Calamba, Laguna</v>
      </c>
    </row>
    <row r="394">
      <c r="A394" s="1" t="s">
        <v>1128</v>
      </c>
      <c r="B394" s="1" t="s">
        <v>1129</v>
      </c>
      <c r="C394" s="1" t="s">
        <v>13</v>
      </c>
      <c r="D394" s="1">
        <v>14.0088249</v>
      </c>
      <c r="E394" s="1">
        <v>121.1711471</v>
      </c>
      <c r="F394" s="1" t="s">
        <v>1130</v>
      </c>
      <c r="G394" s="3" t="str">
        <f>IFERROR(__xludf.DUMMYFUNCTION("IF(REGEXMATCH(F394, ""(?:.*,\s*)?([^,]+),\s*([^,]+),\s*Philippines.*""), TRIM(REGEXREPLACE(REGEXREPLACE(F394, ""(?:.*,\s*)?([^,]+),\s*([^,]+),\s*Philippines.*"", ""$1, $2""), ""\d+"", """")), """")"),"Lipa City, Batangas")</f>
        <v>Lipa City, Batangas</v>
      </c>
    </row>
    <row r="395">
      <c r="A395" s="1" t="s">
        <v>1131</v>
      </c>
      <c r="B395" s="1" t="s">
        <v>1132</v>
      </c>
      <c r="C395" s="1" t="s">
        <v>9</v>
      </c>
      <c r="D395" s="1">
        <v>14.0254625</v>
      </c>
      <c r="E395" s="1">
        <v>121.5955604</v>
      </c>
      <c r="F395" s="1" t="s">
        <v>1133</v>
      </c>
      <c r="G395" s="3" t="str">
        <f>IFERROR(__xludf.DUMMYFUNCTION("IF(REGEXMATCH(F395, ""(?:.*,\s*)?([^,]+),\s*([^,]+),\s*Philippines.*""), TRIM(REGEXREPLACE(REGEXREPLACE(F395, ""(?:.*,\s*)?([^,]+),\s*([^,]+),\s*Philippines.*"", ""$1, $2""), ""\d+"", """")), """")"),"City of Tayabas, Quezon")</f>
        <v>City of Tayabas, Quezon</v>
      </c>
    </row>
    <row r="396">
      <c r="A396" s="1" t="s">
        <v>1134</v>
      </c>
      <c r="B396" s="1" t="s">
        <v>1135</v>
      </c>
      <c r="C396" s="1" t="s">
        <v>13</v>
      </c>
      <c r="D396" s="1">
        <v>10.3044192</v>
      </c>
      <c r="E396" s="1">
        <v>123.8769701</v>
      </c>
      <c r="F396" s="1" t="s">
        <v>1136</v>
      </c>
      <c r="G396" s="3" t="str">
        <f>IFERROR(__xludf.DUMMYFUNCTION("IF(REGEXMATCH(F396, ""(?:.*,\s*)?([^,]+),\s*([^,]+),\s*Philippines.*""), TRIM(REGEXREPLACE(REGEXREPLACE(F396, ""(?:.*,\s*)?([^,]+),\s*([^,]+),\s*Philippines.*"", ""$1, $2""), ""\d+"", """")), """")"),"Cebu City, Cebu")</f>
        <v>Cebu City, Cebu</v>
      </c>
    </row>
    <row r="397">
      <c r="A397" s="1" t="s">
        <v>1137</v>
      </c>
      <c r="B397" s="1" t="s">
        <v>1138</v>
      </c>
      <c r="C397" s="1" t="s">
        <v>9</v>
      </c>
      <c r="D397" s="1">
        <v>14.3757914</v>
      </c>
      <c r="E397" s="1">
        <v>120.9360382</v>
      </c>
      <c r="F397" s="1" t="s">
        <v>1139</v>
      </c>
      <c r="G397" s="3" t="str">
        <f>IFERROR(__xludf.DUMMYFUNCTION("IF(REGEXMATCH(F397, ""(?:.*,\s*)?([^,]+),\s*([^,]+),\s*Philippines.*""), TRIM(REGEXREPLACE(REGEXREPLACE(F397, ""(?:.*,\s*)?([^,]+),\s*([^,]+),\s*Philippines.*"", ""$1, $2""), ""\d+"", """")), """")"),"Imus, Cavite")</f>
        <v>Imus, Cavite</v>
      </c>
    </row>
    <row r="398">
      <c r="A398" s="1" t="s">
        <v>1140</v>
      </c>
      <c r="B398" s="1" t="s">
        <v>1141</v>
      </c>
      <c r="C398" s="1" t="s">
        <v>13</v>
      </c>
      <c r="D398" s="1">
        <v>12.879721</v>
      </c>
      <c r="E398" s="1">
        <v>121.774017</v>
      </c>
      <c r="F398" s="1" t="s">
        <v>47</v>
      </c>
      <c r="G398" s="3" t="str">
        <f>IFERROR(__xludf.DUMMYFUNCTION("IF(REGEXMATCH(F398, ""(?:.*,\s*)?([^,]+),\s*([^,]+),\s*Philippines.*""), TRIM(REGEXREPLACE(REGEXREPLACE(F398, ""(?:.*,\s*)?([^,]+),\s*([^,]+),\s*Philippines.*"", ""$1, $2""), ""\d+"", """")), """")"),"")</f>
        <v/>
      </c>
    </row>
    <row r="399">
      <c r="A399" s="1" t="s">
        <v>1142</v>
      </c>
      <c r="B399" s="1" t="s">
        <v>491</v>
      </c>
      <c r="C399" s="1" t="s">
        <v>13</v>
      </c>
      <c r="D399" s="1">
        <v>14.4410469</v>
      </c>
      <c r="E399" s="1">
        <v>120.908583</v>
      </c>
      <c r="F399" s="1" t="s">
        <v>1143</v>
      </c>
      <c r="G399" s="3" t="str">
        <f>IFERROR(__xludf.DUMMYFUNCTION("IF(REGEXMATCH(F399, ""(?:.*,\s*)?([^,]+),\s*([^,]+),\s*Philippines.*""), TRIM(REGEXREPLACE(REGEXREPLACE(F399, ""(?:.*,\s*)?([^,]+),\s*([^,]+),\s*Philippines.*"", ""$1, $2""), ""\d+"", """")), """")"),"Kawit, Cavite")</f>
        <v>Kawit, Cavite</v>
      </c>
    </row>
    <row r="400">
      <c r="A400" s="1" t="s">
        <v>1144</v>
      </c>
      <c r="B400" s="1" t="s">
        <v>1145</v>
      </c>
      <c r="C400" s="1" t="s">
        <v>9</v>
      </c>
      <c r="D400" s="1">
        <v>14.3281431</v>
      </c>
      <c r="E400" s="1">
        <v>120.9503435</v>
      </c>
      <c r="F400" s="1" t="s">
        <v>1146</v>
      </c>
      <c r="G400" s="3" t="str">
        <f>IFERROR(__xludf.DUMMYFUNCTION("IF(REGEXMATCH(F400, ""(?:.*,\s*)?([^,]+),\s*([^,]+),\s*Philippines.*""), TRIM(REGEXREPLACE(REGEXREPLACE(F400, ""(?:.*,\s*)?([^,]+),\s*([^,]+),\s*Philippines.*"", ""$1, $2""), ""\d+"", """")), """")"),"Dasmariñas, Cavite")</f>
        <v>Dasmariñas, Cavite</v>
      </c>
    </row>
    <row r="401">
      <c r="A401" s="1" t="s">
        <v>1147</v>
      </c>
      <c r="B401" s="1" t="s">
        <v>1148</v>
      </c>
      <c r="C401" s="1" t="s">
        <v>13</v>
      </c>
      <c r="D401" s="1">
        <v>13.325187</v>
      </c>
      <c r="E401" s="1">
        <v>122.650351</v>
      </c>
      <c r="F401" s="1" t="s">
        <v>1149</v>
      </c>
      <c r="G401" s="3" t="str">
        <f>IFERROR(__xludf.DUMMYFUNCTION("IF(REGEXMATCH(F401, ""(?:.*,\s*)?([^,]+),\s*([^,]+),\s*Philippines.*""), TRIM(REGEXREPLACE(REGEXREPLACE(F401, ""(?:.*,\s*)?([^,]+),\s*([^,]+),\s*Philippines.*"", ""$1, $2""), ""\d+"", """")), """")"),"San Andres, Quezon")</f>
        <v>San Andres, Quezon</v>
      </c>
    </row>
    <row r="402">
      <c r="A402" s="1" t="s">
        <v>1150</v>
      </c>
      <c r="B402" s="1" t="s">
        <v>1151</v>
      </c>
      <c r="C402" s="1" t="s">
        <v>9</v>
      </c>
      <c r="D402" s="1">
        <v>14.4724125</v>
      </c>
      <c r="E402" s="1">
        <v>121.3163117</v>
      </c>
      <c r="F402" s="1" t="s">
        <v>1152</v>
      </c>
      <c r="G402" s="3" t="str">
        <f>IFERROR(__xludf.DUMMYFUNCTION("IF(REGEXMATCH(F402, ""(?:.*,\s*)?([^,]+),\s*([^,]+),\s*Philippines.*""), TRIM(REGEXREPLACE(REGEXREPLACE(F402, ""(?:.*,\s*)?([^,]+),\s*([^,]+),\s*Philippines.*"", ""$1, $2""), ""\d+"", """")), """")"),"Pililla, Rizal")</f>
        <v>Pililla, Rizal</v>
      </c>
    </row>
    <row r="403">
      <c r="A403" s="1" t="s">
        <v>1153</v>
      </c>
      <c r="B403" s="1" t="s">
        <v>1154</v>
      </c>
      <c r="C403" s="1" t="s">
        <v>13</v>
      </c>
      <c r="D403" s="1">
        <v>12.879721</v>
      </c>
      <c r="E403" s="1">
        <v>121.774017</v>
      </c>
      <c r="F403" s="1" t="s">
        <v>47</v>
      </c>
      <c r="G403" s="3" t="str">
        <f>IFERROR(__xludf.DUMMYFUNCTION("IF(REGEXMATCH(F403, ""(?:.*,\s*)?([^,]+),\s*([^,]+),\s*Philippines.*""), TRIM(REGEXREPLACE(REGEXREPLACE(F403, ""(?:.*,\s*)?([^,]+),\s*([^,]+),\s*Philippines.*"", ""$1, $2""), ""\d+"", """")), """")"),"")</f>
        <v/>
      </c>
    </row>
    <row r="404">
      <c r="A404" s="1" t="s">
        <v>1155</v>
      </c>
      <c r="B404" s="1" t="s">
        <v>1156</v>
      </c>
      <c r="C404" s="1" t="s">
        <v>9</v>
      </c>
      <c r="D404" s="1">
        <v>14.5754349</v>
      </c>
      <c r="E404" s="1">
        <v>121.1931906</v>
      </c>
      <c r="F404" s="1" t="s">
        <v>1157</v>
      </c>
      <c r="G404" s="3" t="str">
        <f>IFERROR(__xludf.DUMMYFUNCTION("IF(REGEXMATCH(F404, ""(?:.*,\s*)?([^,]+),\s*([^,]+),\s*Philippines.*""), TRIM(REGEXREPLACE(REGEXREPLACE(F404, ""(?:.*,\s*)?([^,]+),\s*([^,]+),\s*Philippines.*"", ""$1, $2""), ""\d+"", """")), """")"),"Antipolo, Rizal")</f>
        <v>Antipolo, Rizal</v>
      </c>
    </row>
    <row r="405">
      <c r="A405" s="1" t="s">
        <v>1158</v>
      </c>
      <c r="B405" s="1" t="s">
        <v>1159</v>
      </c>
      <c r="C405" s="1" t="s">
        <v>13</v>
      </c>
      <c r="D405" s="1">
        <v>14.5771604</v>
      </c>
      <c r="E405" s="1">
        <v>121.191415</v>
      </c>
      <c r="F405" s="1" t="s">
        <v>1160</v>
      </c>
      <c r="G405" s="3" t="str">
        <f>IFERROR(__xludf.DUMMYFUNCTION("IF(REGEXMATCH(F405, ""(?:.*,\s*)?([^,]+),\s*([^,]+),\s*Philippines.*""), TRIM(REGEXREPLACE(REGEXREPLACE(F405, ""(?:.*,\s*)?([^,]+),\s*([^,]+),\s*Philippines.*"", ""$1, $2""), ""\d+"", """")), """")"),"Antipolo, Lalawigan ng Rizal")</f>
        <v>Antipolo, Lalawigan ng Rizal</v>
      </c>
    </row>
    <row r="406">
      <c r="A406" s="1" t="s">
        <v>1161</v>
      </c>
      <c r="B406" s="1" t="s">
        <v>1162</v>
      </c>
      <c r="C406" s="1" t="s">
        <v>9</v>
      </c>
      <c r="D406" s="1">
        <v>14.4233341</v>
      </c>
      <c r="E406" s="1">
        <v>120.8680037</v>
      </c>
      <c r="F406" s="1" t="s">
        <v>1163</v>
      </c>
      <c r="G406" s="3" t="str">
        <f>IFERROR(__xludf.DUMMYFUNCTION("IF(REGEXMATCH(F406, ""(?:.*,\s*)?([^,]+),\s*([^,]+),\s*Philippines.*""), TRIM(REGEXREPLACE(REGEXREPLACE(F406, ""(?:.*,\s*)?([^,]+),\s*([^,]+),\s*Philippines.*"", ""$1, $2""), ""\d+"", """")), """")"),"Rosario, Cavite")</f>
        <v>Rosario, Cavite</v>
      </c>
    </row>
    <row r="407">
      <c r="A407" s="1" t="s">
        <v>1164</v>
      </c>
      <c r="B407" s="1" t="s">
        <v>1165</v>
      </c>
      <c r="C407" s="1" t="s">
        <v>9</v>
      </c>
      <c r="D407" s="1">
        <v>14.5503736</v>
      </c>
      <c r="E407" s="1">
        <v>121.1276388</v>
      </c>
      <c r="F407" s="1" t="s">
        <v>1166</v>
      </c>
      <c r="G407" s="3" t="str">
        <f>IFERROR(__xludf.DUMMYFUNCTION("IF(REGEXMATCH(F407, ""(?:.*,\s*)?([^,]+),\s*([^,]+),\s*Philippines.*""), TRIM(REGEXREPLACE(REGEXREPLACE(F407, ""(?:.*,\s*)?([^,]+),\s*([^,]+),\s*Philippines.*"", ""$1, $2""), ""\d+"", """")), """")"),"Taytay, Rizal")</f>
        <v>Taytay, Rizal</v>
      </c>
    </row>
    <row r="408">
      <c r="A408" s="1" t="s">
        <v>1167</v>
      </c>
      <c r="B408" s="1" t="s">
        <v>1168</v>
      </c>
      <c r="C408" s="1" t="s">
        <v>13</v>
      </c>
      <c r="D408" s="1">
        <v>13.6313678</v>
      </c>
      <c r="E408" s="1">
        <v>122.2757348</v>
      </c>
      <c r="F408" s="1" t="s">
        <v>1169</v>
      </c>
      <c r="G408" s="3" t="str">
        <f>IFERROR(__xludf.DUMMYFUNCTION("IF(REGEXMATCH(F408, ""(?:.*,\s*)?([^,]+),\s*([^,]+),\s*Philippines.*""), TRIM(REGEXREPLACE(REGEXREPLACE(F408, ""(?:.*,\s*)?([^,]+),\s*([^,]+),\s*Philippines.*"", ""$1, $2""), ""\d+"", """")), """")"),"Catanauan, Quezon")</f>
        <v>Catanauan, Quezon</v>
      </c>
    </row>
    <row r="409">
      <c r="A409" s="1" t="s">
        <v>1170</v>
      </c>
      <c r="B409" s="1" t="s">
        <v>1171</v>
      </c>
      <c r="C409" s="1" t="s">
        <v>13</v>
      </c>
      <c r="D409" s="1">
        <v>14.0293406</v>
      </c>
      <c r="E409" s="1">
        <v>122.1201793</v>
      </c>
      <c r="F409" s="1" t="s">
        <v>1172</v>
      </c>
      <c r="G409" s="3" t="str">
        <f>IFERROR(__xludf.DUMMYFUNCTION("IF(REGEXMATCH(F409, ""(?:.*,\s*)?([^,]+),\s*([^,]+),\s*Philippines.*""), TRIM(REGEXREPLACE(REGEXREPLACE(F409, ""(?:.*,\s*)?([^,]+),\s*([^,]+),\s*Philippines.*"", ""$1, $2""), ""\d+"", """")), """")"),"Quezon, Quezon")</f>
        <v>Quezon, Quezon</v>
      </c>
    </row>
    <row r="410">
      <c r="A410" s="1" t="s">
        <v>1173</v>
      </c>
      <c r="B410" s="1" t="s">
        <v>1174</v>
      </c>
      <c r="C410" s="1" t="s">
        <v>13</v>
      </c>
      <c r="D410" s="1">
        <v>12.879721</v>
      </c>
      <c r="E410" s="1">
        <v>121.774017</v>
      </c>
      <c r="F410" s="1" t="s">
        <v>47</v>
      </c>
      <c r="G410" s="3" t="str">
        <f>IFERROR(__xludf.DUMMYFUNCTION("IF(REGEXMATCH(F410, ""(?:.*,\s*)?([^,]+),\s*([^,]+),\s*Philippines.*""), TRIM(REGEXREPLACE(REGEXREPLACE(F410, ""(?:.*,\s*)?([^,]+),\s*([^,]+),\s*Philippines.*"", ""$1, $2""), ""\d+"", """")), """")"),"")</f>
        <v/>
      </c>
    </row>
    <row r="411">
      <c r="A411" s="1" t="s">
        <v>1175</v>
      </c>
      <c r="B411" s="1" t="s">
        <v>1176</v>
      </c>
      <c r="C411" s="1" t="s">
        <v>9</v>
      </c>
      <c r="D411" s="1">
        <v>13.8782253</v>
      </c>
      <c r="E411" s="1">
        <v>120.9196097</v>
      </c>
      <c r="F411" s="1" t="s">
        <v>1177</v>
      </c>
      <c r="G411" s="3" t="str">
        <f>IFERROR(__xludf.DUMMYFUNCTION("IF(REGEXMATCH(F411, ""(?:.*,\s*)?([^,]+),\s*([^,]+),\s*Philippines.*""), TRIM(REGEXREPLACE(REGEXREPLACE(F411, ""(?:.*,\s*)?([^,]+),\s*([^,]+),\s*Philippines.*"", ""$1, $2""), ""\d+"", """")), """")"),"Taal, Batangas")</f>
        <v>Taal, Batangas</v>
      </c>
    </row>
    <row r="412">
      <c r="A412" s="1" t="s">
        <v>1178</v>
      </c>
      <c r="C412" s="1" t="s">
        <v>13</v>
      </c>
      <c r="D412" s="1">
        <v>14.4382352</v>
      </c>
      <c r="E412" s="1">
        <v>121.4509133</v>
      </c>
      <c r="F412" s="1" t="s">
        <v>1179</v>
      </c>
      <c r="G412" s="3" t="str">
        <f>IFERROR(__xludf.DUMMYFUNCTION("IF(REGEXMATCH(F412, ""(?:.*,\s*)?([^,]+),\s*([^,]+),\s*Philippines.*""), TRIM(REGEXREPLACE(REGEXREPLACE(F412, ""(?:.*,\s*)?([^,]+),\s*([^,]+),\s*Philippines.*"", ""$1, $2""), ""\d+"", """")), """")"),"Famy, Laguna")</f>
        <v>Famy, Laguna</v>
      </c>
    </row>
    <row r="413">
      <c r="A413" s="1" t="s">
        <v>1180</v>
      </c>
      <c r="B413" s="1" t="s">
        <v>1181</v>
      </c>
      <c r="C413" s="1" t="s">
        <v>9</v>
      </c>
      <c r="D413" s="1">
        <v>14.3912642</v>
      </c>
      <c r="E413" s="1">
        <v>120.8530123</v>
      </c>
      <c r="F413" s="1" t="s">
        <v>1182</v>
      </c>
      <c r="G413" s="3" t="str">
        <f>IFERROR(__xludf.DUMMYFUNCTION("IF(REGEXMATCH(F413, ""(?:.*,\s*)?([^,]+),\s*([^,]+),\s*Philippines.*""), TRIM(REGEXREPLACE(REGEXREPLACE(F413, ""(?:.*,\s*)?([^,]+),\s*([^,]+),\s*Philippines.*"", ""$1, $2""), ""\d+"", """")), """")"),"Tanza, Cavite")</f>
        <v>Tanza, Cavite</v>
      </c>
    </row>
    <row r="414">
      <c r="A414" s="1" t="s">
        <v>1183</v>
      </c>
      <c r="B414" s="1" t="s">
        <v>1184</v>
      </c>
      <c r="C414" s="1" t="s">
        <v>9</v>
      </c>
      <c r="D414" s="1">
        <v>14.3348638</v>
      </c>
      <c r="E414" s="1">
        <v>120.9542357</v>
      </c>
      <c r="F414" s="1" t="s">
        <v>1185</v>
      </c>
      <c r="G414" s="3" t="str">
        <f>IFERROR(__xludf.DUMMYFUNCTION("IF(REGEXMATCH(F414, ""(?:.*,\s*)?([^,]+),\s*([^,]+),\s*Philippines.*""), TRIM(REGEXREPLACE(REGEXREPLACE(F414, ""(?:.*,\s*)?([^,]+),\s*([^,]+),\s*Philippines.*"", ""$1, $2""), ""\d+"", """")), """")"),"Dasmariñas, Cavite")</f>
        <v>Dasmariñas, Cavite</v>
      </c>
    </row>
    <row r="415">
      <c r="A415" s="1" t="s">
        <v>1186</v>
      </c>
      <c r="B415" s="1" t="s">
        <v>1187</v>
      </c>
      <c r="C415" s="1" t="s">
        <v>9</v>
      </c>
      <c r="D415" s="1">
        <v>14.066619</v>
      </c>
      <c r="E415" s="1">
        <v>121.324786</v>
      </c>
      <c r="F415" s="1" t="s">
        <v>297</v>
      </c>
      <c r="G415" s="3" t="str">
        <f>IFERROR(__xludf.DUMMYFUNCTION("IF(REGEXMATCH(F415, ""(?:.*,\s*)?([^,]+),\s*([^,]+),\s*Philippines.*""), TRIM(REGEXREPLACE(REGEXREPLACE(F415, ""(?:.*,\s*)?([^,]+),\s*([^,]+),\s*Philippines.*"", ""$1, $2""), ""\d+"", """")), """")"),"San Pablo City, Laguna")</f>
        <v>San Pablo City, Laguna</v>
      </c>
    </row>
    <row r="416">
      <c r="A416" s="1" t="s">
        <v>1188</v>
      </c>
      <c r="B416" s="1" t="s">
        <v>1189</v>
      </c>
      <c r="C416" s="1" t="s">
        <v>9</v>
      </c>
      <c r="D416" s="1">
        <v>14.3271255</v>
      </c>
      <c r="E416" s="1">
        <v>120.9344178</v>
      </c>
      <c r="F416" s="1" t="s">
        <v>1190</v>
      </c>
      <c r="G416" s="3" t="str">
        <f>IFERROR(__xludf.DUMMYFUNCTION("IF(REGEXMATCH(F416, ""(?:.*,\s*)?([^,]+),\s*([^,]+),\s*Philippines.*""), TRIM(REGEXREPLACE(REGEXREPLACE(F416, ""(?:.*,\s*)?([^,]+),\s*([^,]+),\s*Philippines.*"", ""$1, $2""), ""\d+"", """")), """")"),"Dasmariñas, Cavite")</f>
        <v>Dasmariñas, Cavite</v>
      </c>
    </row>
    <row r="417">
      <c r="A417" s="1" t="s">
        <v>1191</v>
      </c>
      <c r="B417" s="1" t="s">
        <v>1192</v>
      </c>
      <c r="C417" s="1" t="s">
        <v>9</v>
      </c>
      <c r="D417" s="1">
        <v>14.276109</v>
      </c>
      <c r="E417" s="1">
        <v>120.7374449</v>
      </c>
      <c r="F417" s="1" t="s">
        <v>1193</v>
      </c>
      <c r="G417" s="3" t="str">
        <f>IFERROR(__xludf.DUMMYFUNCTION("IF(REGEXMATCH(F417, ""(?:.*,\s*)?([^,]+),\s*([^,]+),\s*Philippines.*""), TRIM(REGEXREPLACE(REGEXREPLACE(F417, ""(?:.*,\s*)?([^,]+),\s*([^,]+),\s*Philippines.*"", ""$1, $2""), ""\d+"", """")), """")"),"Maragondon, Cavite")</f>
        <v>Maragondon, Cavite</v>
      </c>
    </row>
    <row r="418">
      <c r="A418" s="1" t="s">
        <v>1194</v>
      </c>
      <c r="B418" s="1" t="s">
        <v>1195</v>
      </c>
      <c r="C418" s="1" t="s">
        <v>9</v>
      </c>
      <c r="D418" s="1">
        <v>14.3918445</v>
      </c>
      <c r="E418" s="1">
        <v>120.8527223</v>
      </c>
      <c r="F418" s="1" t="s">
        <v>1196</v>
      </c>
      <c r="G418" s="3" t="str">
        <f>IFERROR(__xludf.DUMMYFUNCTION("IF(REGEXMATCH(F418, ""(?:.*,\s*)?([^,]+),\s*([^,]+),\s*Philippines.*""), TRIM(REGEXREPLACE(REGEXREPLACE(F418, ""(?:.*,\s*)?([^,]+),\s*([^,]+),\s*Philippines.*"", ""$1, $2""), ""\d+"", """")), """")"),"Tanza, Cavite")</f>
        <v>Tanza, Cavite</v>
      </c>
    </row>
    <row r="419">
      <c r="A419" s="1" t="s">
        <v>1197</v>
      </c>
      <c r="B419" s="1" t="s">
        <v>1198</v>
      </c>
      <c r="C419" s="1" t="s">
        <v>9</v>
      </c>
      <c r="D419" s="1">
        <v>14.0627472</v>
      </c>
      <c r="E419" s="1">
        <v>121.347129</v>
      </c>
      <c r="F419" s="1" t="s">
        <v>1199</v>
      </c>
      <c r="G419" s="3" t="str">
        <f>IFERROR(__xludf.DUMMYFUNCTION("IF(REGEXMATCH(F419, ""(?:.*,\s*)?([^,]+),\s*([^,]+),\s*Philippines.*""), TRIM(REGEXREPLACE(REGEXREPLACE(F419, ""(?:.*,\s*)?([^,]+),\s*([^,]+),\s*Philippines.*"", ""$1, $2""), ""\d+"", """")), """")"),"San Pablo City, Laguna")</f>
        <v>San Pablo City, Laguna</v>
      </c>
    </row>
    <row r="420">
      <c r="A420" s="1" t="s">
        <v>1200</v>
      </c>
      <c r="B420" s="1" t="s">
        <v>491</v>
      </c>
      <c r="C420" s="1" t="s">
        <v>13</v>
      </c>
      <c r="D420" s="1">
        <v>13.9538525</v>
      </c>
      <c r="E420" s="1">
        <v>121.1326444</v>
      </c>
      <c r="F420" s="1" t="s">
        <v>1201</v>
      </c>
      <c r="G420" s="3" t="str">
        <f>IFERROR(__xludf.DUMMYFUNCTION("IF(REGEXMATCH(F420, ""(?:.*,\s*)?([^,]+),\s*([^,]+),\s*Philippines.*""), TRIM(REGEXREPLACE(REGEXREPLACE(F420, ""(?:.*,\s*)?([^,]+),\s*([^,]+),\s*Philippines.*"", ""$1, $2""), ""\d+"", """")), """")"),"Lipa City, Batangas")</f>
        <v>Lipa City, Batangas</v>
      </c>
    </row>
    <row r="421">
      <c r="A421" s="1" t="s">
        <v>1202</v>
      </c>
      <c r="B421" s="1" t="s">
        <v>1203</v>
      </c>
      <c r="C421" s="1" t="s">
        <v>9</v>
      </c>
      <c r="D421" s="1">
        <v>14.1370935</v>
      </c>
      <c r="E421" s="1">
        <v>121.130828</v>
      </c>
      <c r="F421" s="1" t="s">
        <v>1204</v>
      </c>
      <c r="G421" s="3" t="str">
        <f>IFERROR(__xludf.DUMMYFUNCTION("IF(REGEXMATCH(F421, ""(?:.*,\s*)?([^,]+),\s*([^,]+),\s*Philippines.*""), TRIM(REGEXREPLACE(REGEXREPLACE(F421, ""(?:.*,\s*)?([^,]+),\s*([^,]+),\s*Philippines.*"", ""$1, $2""), ""\d+"", """")), """")"),"Santo Tomas, Batangas")</f>
        <v>Santo Tomas, Batangas</v>
      </c>
    </row>
    <row r="422">
      <c r="A422" s="1" t="s">
        <v>1205</v>
      </c>
      <c r="B422" s="1" t="s">
        <v>1206</v>
      </c>
      <c r="C422" s="1" t="s">
        <v>9</v>
      </c>
      <c r="D422" s="1">
        <v>14.4553727</v>
      </c>
      <c r="E422" s="1">
        <v>120.957185</v>
      </c>
      <c r="F422" s="1" t="s">
        <v>1207</v>
      </c>
      <c r="G422" s="3" t="str">
        <f>IFERROR(__xludf.DUMMYFUNCTION("IF(REGEXMATCH(F422, ""(?:.*,\s*)?([^,]+),\s*([^,]+),\s*Philippines.*""), TRIM(REGEXREPLACE(REGEXREPLACE(F422, ""(?:.*,\s*)?([^,]+),\s*([^,]+),\s*Philippines.*"", ""$1, $2""), ""\d+"", """")), """")"),"Bacoor, Cavite")</f>
        <v>Bacoor, Cavite</v>
      </c>
    </row>
    <row r="423">
      <c r="A423" s="1" t="s">
        <v>1208</v>
      </c>
      <c r="B423" s="1" t="s">
        <v>1209</v>
      </c>
      <c r="C423" s="1" t="s">
        <v>9</v>
      </c>
      <c r="D423" s="1">
        <v>14.7485193</v>
      </c>
      <c r="E423" s="1">
        <v>121.1285809</v>
      </c>
      <c r="F423" s="1" t="s">
        <v>1210</v>
      </c>
      <c r="G423" s="3" t="str">
        <f>IFERROR(__xludf.DUMMYFUNCTION("IF(REGEXMATCH(F423, ""(?:.*,\s*)?([^,]+),\s*([^,]+),\s*Philippines.*""), TRIM(REGEXREPLACE(REGEXREPLACE(F423, ""(?:.*,\s*)?([^,]+),\s*([^,]+),\s*Philippines.*"", ""$1, $2""), ""\d+"", """")), """")"),"Rodriguez, Rizal")</f>
        <v>Rodriguez, Rizal</v>
      </c>
    </row>
    <row r="424">
      <c r="A424" s="1" t="s">
        <v>1211</v>
      </c>
      <c r="B424" s="1" t="s">
        <v>1212</v>
      </c>
      <c r="C424" s="1" t="s">
        <v>13</v>
      </c>
      <c r="D424" s="1">
        <v>12.4011916</v>
      </c>
      <c r="E424" s="1">
        <v>121.1022942</v>
      </c>
      <c r="F424" s="1" t="s">
        <v>1213</v>
      </c>
      <c r="G424" s="3" t="str">
        <f>IFERROR(__xludf.DUMMYFUNCTION("IF(REGEXMATCH(F424, ""(?:.*,\s*)?([^,]+),\s*([^,]+),\s*Philippines.*""), TRIM(REGEXREPLACE(REGEXREPLACE(F424, ""(?:.*,\s*)?([^,]+),\s*([^,]+),\s*Philippines.*"", ""$1, $2""), ""\d+"", """")), """")"),"San Jose, Occidental Mindoro")</f>
        <v>San Jose, Occidental Mindoro</v>
      </c>
    </row>
    <row r="425">
      <c r="A425" s="1" t="s">
        <v>1214</v>
      </c>
      <c r="B425" s="1" t="s">
        <v>491</v>
      </c>
      <c r="C425" s="1" t="s">
        <v>13</v>
      </c>
      <c r="D425" s="1">
        <v>14.2918655</v>
      </c>
      <c r="E425" s="1">
        <v>120.8803366</v>
      </c>
      <c r="F425" s="1" t="s">
        <v>1215</v>
      </c>
      <c r="G425" s="3" t="str">
        <f>IFERROR(__xludf.DUMMYFUNCTION("IF(REGEXMATCH(F425, ""(?:.*,\s*)?([^,]+),\s*([^,]+),\s*Philippines.*""), TRIM(REGEXREPLACE(REGEXREPLACE(F425, ""(?:.*,\s*)?([^,]+),\s*([^,]+),\s*Philippines.*"", ""$1, $2""), ""\d+"", """")), """")"),"Trece Martires City, Cavite")</f>
        <v>Trece Martires City, Cavite</v>
      </c>
    </row>
    <row r="426">
      <c r="A426" s="1" t="s">
        <v>1216</v>
      </c>
      <c r="B426" s="1" t="s">
        <v>1217</v>
      </c>
      <c r="C426" s="1" t="s">
        <v>13</v>
      </c>
      <c r="D426" s="1">
        <v>14.1317201</v>
      </c>
      <c r="E426" s="1">
        <v>120.9761082</v>
      </c>
      <c r="F426" s="1" t="s">
        <v>1218</v>
      </c>
      <c r="G426" s="3" t="str">
        <f>IFERROR(__xludf.DUMMYFUNCTION("IF(REGEXMATCH(F426, ""(?:.*,\s*)?([^,]+),\s*([^,]+),\s*Philippines.*""), TRIM(REGEXREPLACE(REGEXREPLACE(F426, ""(?:.*,\s*)?([^,]+),\s*([^,]+),\s*Philippines.*"", ""$1, $2""), ""\d+"", """")), """")"),"Tagaytay City, Cavite")</f>
        <v>Tagaytay City, Cavite</v>
      </c>
    </row>
    <row r="427">
      <c r="A427" s="1" t="s">
        <v>1219</v>
      </c>
      <c r="B427" s="1" t="s">
        <v>1220</v>
      </c>
      <c r="C427" s="1" t="s">
        <v>13</v>
      </c>
      <c r="D427" s="1">
        <v>12.879721</v>
      </c>
      <c r="E427" s="1">
        <v>121.774017</v>
      </c>
      <c r="F427" s="1" t="s">
        <v>47</v>
      </c>
      <c r="G427" s="3" t="str">
        <f>IFERROR(__xludf.DUMMYFUNCTION("IF(REGEXMATCH(F427, ""(?:.*,\s*)?([^,]+),\s*([^,]+),\s*Philippines.*""), TRIM(REGEXREPLACE(REGEXREPLACE(F427, ""(?:.*,\s*)?([^,]+),\s*([^,]+),\s*Philippines.*"", ""$1, $2""), ""\d+"", """")), """")"),"")</f>
        <v/>
      </c>
    </row>
    <row r="428">
      <c r="A428" s="1" t="s">
        <v>1221</v>
      </c>
      <c r="B428" s="1" t="s">
        <v>1222</v>
      </c>
      <c r="C428" s="1" t="s">
        <v>9</v>
      </c>
      <c r="D428" s="1">
        <v>14.4257879</v>
      </c>
      <c r="E428" s="1">
        <v>120.8939856</v>
      </c>
      <c r="F428" s="1" t="s">
        <v>1223</v>
      </c>
      <c r="G428" s="3" t="str">
        <f>IFERROR(__xludf.DUMMYFUNCTION("IF(REGEXMATCH(F428, ""(?:.*,\s*)?([^,]+),\s*([^,]+),\s*Philippines.*""), TRIM(REGEXREPLACE(REGEXREPLACE(F428, ""(?:.*,\s*)?([^,]+),\s*([^,]+),\s*Philippines.*"", ""$1, $2""), ""\d+"", """")), """")"),"Kawit, Cavite")</f>
        <v>Kawit, Cavite</v>
      </c>
    </row>
    <row r="429">
      <c r="A429" s="1" t="s">
        <v>1224</v>
      </c>
      <c r="B429" s="1" t="s">
        <v>1225</v>
      </c>
      <c r="C429" s="1" t="s">
        <v>13</v>
      </c>
      <c r="D429" s="1">
        <v>14.4430148</v>
      </c>
      <c r="E429" s="1">
        <v>121.5054639</v>
      </c>
      <c r="F429" s="1" t="s">
        <v>1226</v>
      </c>
      <c r="G429" s="3" t="str">
        <f>IFERROR(__xludf.DUMMYFUNCTION("IF(REGEXMATCH(F429, ""(?:.*,\s*)?([^,]+),\s*([^,]+),\s*Philippines.*""), TRIM(REGEXREPLACE(REGEXREPLACE(F429, ""(?:.*,\s*)?([^,]+),\s*([^,]+),\s*Philippines.*"", ""$1, $2""), ""\d+"", """")), """")"),"Pangil, Laguna")</f>
        <v>Pangil, Laguna</v>
      </c>
    </row>
    <row r="430">
      <c r="A430" s="1" t="s">
        <v>1227</v>
      </c>
      <c r="B430" s="1" t="s">
        <v>1228</v>
      </c>
      <c r="C430" s="1" t="s">
        <v>9</v>
      </c>
      <c r="D430" s="1">
        <v>14.6024419</v>
      </c>
      <c r="E430" s="1">
        <v>121.1063758</v>
      </c>
      <c r="F430" s="1" t="s">
        <v>1229</v>
      </c>
      <c r="G430" s="3" t="str">
        <f>IFERROR(__xludf.DUMMYFUNCTION("IF(REGEXMATCH(F430, ""(?:.*,\s*)?([^,]+),\s*([^,]+),\s*Philippines.*""), TRIM(REGEXREPLACE(REGEXREPLACE(F430, ""(?:.*,\s*)?([^,]+),\s*([^,]+),\s*Philippines.*"", ""$1, $2""), ""\d+"", """")), """")"),"")</f>
        <v/>
      </c>
    </row>
    <row r="431">
      <c r="A431" s="1" t="s">
        <v>1230</v>
      </c>
      <c r="B431" s="1" t="s">
        <v>1231</v>
      </c>
      <c r="C431" s="1" t="s">
        <v>9</v>
      </c>
      <c r="D431" s="1">
        <v>14.6219674</v>
      </c>
      <c r="E431" s="1">
        <v>121.1679438</v>
      </c>
      <c r="F431" s="1" t="s">
        <v>1232</v>
      </c>
      <c r="G431" s="3" t="str">
        <f>IFERROR(__xludf.DUMMYFUNCTION("IF(REGEXMATCH(F431, ""(?:.*,\s*)?([^,]+),\s*([^,]+),\s*Philippines.*""), TRIM(REGEXREPLACE(REGEXREPLACE(F431, ""(?:.*,\s*)?([^,]+),\s*([^,]+),\s*Philippines.*"", ""$1, $2""), ""\d+"", """")), """")"),"Antipolo, Rizal")</f>
        <v>Antipolo, Rizal</v>
      </c>
    </row>
    <row r="432">
      <c r="A432" s="1" t="s">
        <v>1233</v>
      </c>
      <c r="B432" s="1" t="s">
        <v>1234</v>
      </c>
      <c r="C432" s="1" t="s">
        <v>13</v>
      </c>
      <c r="D432" s="1">
        <v>13.6882191</v>
      </c>
      <c r="E432" s="1">
        <v>122.1719145</v>
      </c>
      <c r="F432" s="1" t="s">
        <v>1235</v>
      </c>
      <c r="G432" s="3" t="str">
        <f>IFERROR(__xludf.DUMMYFUNCTION("IF(REGEXMATCH(F432, ""(?:.*,\s*)?([^,]+),\s*([^,]+),\s*Philippines.*""), TRIM(REGEXREPLACE(REGEXREPLACE(F432, ""(?:.*,\s*)?([^,]+),\s*([^,]+),\s*Philippines.*"", ""$1, $2""), ""\d+"", """")), """")"),"General Luna, Quezon")</f>
        <v>General Luna, Quezon</v>
      </c>
    </row>
    <row r="433">
      <c r="A433" s="1" t="s">
        <v>1236</v>
      </c>
      <c r="B433" s="1" t="s">
        <v>1237</v>
      </c>
      <c r="C433" s="1" t="s">
        <v>13</v>
      </c>
      <c r="D433" s="1">
        <v>14.5104219</v>
      </c>
      <c r="E433" s="1">
        <v>121.4345412</v>
      </c>
      <c r="F433" s="1" t="s">
        <v>1238</v>
      </c>
      <c r="G433" s="3" t="str">
        <f>IFERROR(__xludf.DUMMYFUNCTION("IF(REGEXMATCH(F433, ""(?:.*,\s*)?([^,]+),\s*([^,]+),\s*Philippines.*""), TRIM(REGEXREPLACE(REGEXREPLACE(F433, ""(?:.*,\s*)?([^,]+),\s*([^,]+),\s*Philippines.*"", ""$1, $2""), ""\d+"", """")), """")"),"Santa Maria, Laguna")</f>
        <v>Santa Maria, Laguna</v>
      </c>
    </row>
    <row r="434">
      <c r="A434" s="1" t="s">
        <v>1239</v>
      </c>
      <c r="B434" s="1" t="s">
        <v>1240</v>
      </c>
      <c r="C434" s="1" t="s">
        <v>13</v>
      </c>
      <c r="D434" s="1">
        <v>14.1845295</v>
      </c>
      <c r="E434" s="1">
        <v>120.796035</v>
      </c>
      <c r="F434" s="1" t="s">
        <v>1241</v>
      </c>
      <c r="G434" s="3" t="str">
        <f>IFERROR(__xludf.DUMMYFUNCTION("IF(REGEXMATCH(F434, ""(?:.*,\s*)?([^,]+),\s*([^,]+),\s*Philippines.*""), TRIM(REGEXREPLACE(REGEXREPLACE(F434, ""(?:.*,\s*)?([^,]+),\s*([^,]+),\s*Philippines.*"", ""$1, $2""), ""\d+"", """")), """")"),"General Emilio Aguinaldo, Cavite")</f>
        <v>General Emilio Aguinaldo, Cavite</v>
      </c>
    </row>
    <row r="435">
      <c r="A435" s="1" t="s">
        <v>1242</v>
      </c>
      <c r="B435" s="1" t="s">
        <v>1243</v>
      </c>
      <c r="C435" s="1" t="s">
        <v>9</v>
      </c>
      <c r="D435" s="1">
        <v>12.879721</v>
      </c>
      <c r="E435" s="1">
        <v>121.774017</v>
      </c>
      <c r="F435" s="1" t="s">
        <v>47</v>
      </c>
      <c r="G435" s="3" t="str">
        <f>IFERROR(__xludf.DUMMYFUNCTION("IF(REGEXMATCH(F435, ""(?:.*,\s*)?([^,]+),\s*([^,]+),\s*Philippines.*""), TRIM(REGEXREPLACE(REGEXREPLACE(F435, ""(?:.*,\s*)?([^,]+),\s*([^,]+),\s*Philippines.*"", ""$1, $2""), ""\d+"", """")), """")"),"")</f>
        <v/>
      </c>
    </row>
    <row r="436">
      <c r="A436" s="1" t="s">
        <v>1244</v>
      </c>
      <c r="B436" s="1" t="s">
        <v>1245</v>
      </c>
      <c r="C436" s="1" t="s">
        <v>9</v>
      </c>
      <c r="D436" s="1">
        <v>14.3835442</v>
      </c>
      <c r="E436" s="1">
        <v>120.9392878</v>
      </c>
      <c r="F436" s="1" t="s">
        <v>1246</v>
      </c>
      <c r="G436" s="3" t="str">
        <f>IFERROR(__xludf.DUMMYFUNCTION("IF(REGEXMATCH(F436, ""(?:.*,\s*)?([^,]+),\s*([^,]+),\s*Philippines.*""), TRIM(REGEXREPLACE(REGEXREPLACE(F436, ""(?:.*,\s*)?([^,]+),\s*([^,]+),\s*Philippines.*"", ""$1, $2""), ""\d+"", """")), """")"),"Imus, Cavite")</f>
        <v>Imus, Cavite</v>
      </c>
    </row>
    <row r="437">
      <c r="A437" s="1" t="s">
        <v>1247</v>
      </c>
      <c r="B437" s="1" t="s">
        <v>1248</v>
      </c>
      <c r="C437" s="1" t="s">
        <v>13</v>
      </c>
      <c r="D437" s="1">
        <v>14.2952492</v>
      </c>
      <c r="E437" s="1">
        <v>121.0070953</v>
      </c>
      <c r="F437" s="1" t="s">
        <v>1249</v>
      </c>
      <c r="G437" s="3" t="str">
        <f>IFERROR(__xludf.DUMMYFUNCTION("IF(REGEXMATCH(F437, ""(?:.*,\s*)?([^,]+),\s*([^,]+),\s*Philippines.*""), TRIM(REGEXREPLACE(REGEXREPLACE(F437, ""(?:.*,\s*)?([^,]+),\s*([^,]+),\s*Philippines.*"", ""$1, $2""), ""\d+"", """")), """")"),"General Mariano Alvarez, Cavite")</f>
        <v>General Mariano Alvarez, Cavite</v>
      </c>
    </row>
    <row r="438">
      <c r="A438" s="1" t="s">
        <v>1250</v>
      </c>
      <c r="B438" s="1" t="s">
        <v>1251</v>
      </c>
      <c r="C438" s="1" t="s">
        <v>9</v>
      </c>
      <c r="D438" s="1">
        <v>14.3928095</v>
      </c>
      <c r="E438" s="1">
        <v>120.9197443</v>
      </c>
      <c r="F438" s="1" t="s">
        <v>1252</v>
      </c>
      <c r="G438" s="3" t="str">
        <f>IFERROR(__xludf.DUMMYFUNCTION("IF(REGEXMATCH(F438, ""(?:.*,\s*)?([^,]+),\s*([^,]+),\s*Philippines.*""), TRIM(REGEXREPLACE(REGEXREPLACE(F438, ""(?:.*,\s*)?([^,]+),\s*([^,]+),\s*Philippines.*"", ""$1, $2""), ""\d+"", """")), """")"),"Imus, Cavite")</f>
        <v>Imus, Cavite</v>
      </c>
    </row>
    <row r="439">
      <c r="A439" s="1" t="s">
        <v>1253</v>
      </c>
      <c r="B439" s="1" t="s">
        <v>1254</v>
      </c>
      <c r="C439" s="1" t="s">
        <v>13</v>
      </c>
      <c r="D439" s="1">
        <v>14.2108075</v>
      </c>
      <c r="E439" s="1">
        <v>120.9587792</v>
      </c>
      <c r="F439" s="1" t="s">
        <v>1255</v>
      </c>
      <c r="G439" s="3" t="str">
        <f>IFERROR(__xludf.DUMMYFUNCTION("IF(REGEXMATCH(F439, ""(?:.*,\s*)?([^,]+),\s*([^,]+),\s*Philippines.*""), TRIM(REGEXREPLACE(REGEXREPLACE(F439, ""(?:.*,\s*)?([^,]+),\s*([^,]+),\s*Philippines.*"", ""$1, $2""), ""\d+"", """")), """")"),"Silang, Cavite")</f>
        <v>Silang, Cavite</v>
      </c>
    </row>
    <row r="440">
      <c r="A440" s="1" t="s">
        <v>1256</v>
      </c>
      <c r="B440" s="1" t="s">
        <v>1257</v>
      </c>
      <c r="C440" s="1" t="s">
        <v>13</v>
      </c>
      <c r="D440" s="1">
        <v>9.7837527</v>
      </c>
      <c r="E440" s="1">
        <v>126.1565715</v>
      </c>
      <c r="F440" s="1" t="s">
        <v>1258</v>
      </c>
      <c r="G440" s="3" t="str">
        <f>IFERROR(__xludf.DUMMYFUNCTION("IF(REGEXMATCH(F440, ""(?:.*,\s*)?([^,]+),\s*([^,]+),\s*Philippines.*""), TRIM(REGEXREPLACE(REGEXREPLACE(F440, ""(?:.*,\s*)?([^,]+),\s*([^,]+),\s*Philippines.*"", ""$1, $2""), ""\d+"", """")), """")"),"General Luna, Surigao del Norte")</f>
        <v>General Luna, Surigao del Norte</v>
      </c>
    </row>
    <row r="441">
      <c r="A441" s="1" t="s">
        <v>1259</v>
      </c>
      <c r="B441" s="1" t="s">
        <v>1260</v>
      </c>
      <c r="C441" s="1" t="s">
        <v>622</v>
      </c>
      <c r="D441" s="1">
        <v>14.5906141</v>
      </c>
      <c r="E441" s="1">
        <v>121.1882342</v>
      </c>
      <c r="F441" s="1" t="s">
        <v>1261</v>
      </c>
      <c r="G441" s="3" t="str">
        <f>IFERROR(__xludf.DUMMYFUNCTION("IF(REGEXMATCH(F441, ""(?:.*,\s*)?([^,]+),\s*([^,]+),\s*Philippines.*""), TRIM(REGEXREPLACE(REGEXREPLACE(F441, ""(?:.*,\s*)?([^,]+),\s*([^,]+),\s*Philippines.*"", ""$1, $2""), ""\d+"", """")), """")"),"Antipolo, Rizal")</f>
        <v>Antipolo, Rizal</v>
      </c>
    </row>
    <row r="442">
      <c r="A442" s="1" t="s">
        <v>1262</v>
      </c>
      <c r="B442" s="1" t="s">
        <v>1263</v>
      </c>
      <c r="C442" s="1" t="s">
        <v>13</v>
      </c>
      <c r="D442" s="1">
        <v>13.9455414</v>
      </c>
      <c r="E442" s="1">
        <v>121.2949817</v>
      </c>
      <c r="F442" s="1" t="s">
        <v>1264</v>
      </c>
      <c r="G442" s="3" t="str">
        <f>IFERROR(__xludf.DUMMYFUNCTION("IF(REGEXMATCH(F442, ""(?:.*,\s*)?([^,]+),\s*([^,]+),\s*Philippines.*""), TRIM(REGEXREPLACE(REGEXREPLACE(F442, ""(?:.*,\s*)?([^,]+),\s*([^,]+),\s*Philippines.*"", ""$1, $2""), ""\d+"", """")), """")"),"Tiaong, Quezon")</f>
        <v>Tiaong, Quezon</v>
      </c>
    </row>
    <row r="443">
      <c r="A443" s="1" t="s">
        <v>1265</v>
      </c>
      <c r="B443" s="1" t="s">
        <v>1266</v>
      </c>
      <c r="C443" s="1" t="s">
        <v>13</v>
      </c>
      <c r="D443" s="1">
        <v>13.4999703</v>
      </c>
      <c r="E443" s="1">
        <v>122.5598994</v>
      </c>
      <c r="F443" s="1" t="s">
        <v>1267</v>
      </c>
      <c r="G443" s="3" t="str">
        <f>IFERROR(__xludf.DUMMYFUNCTION("IF(REGEXMATCH(F443, ""(?:.*,\s*)?([^,]+),\s*([^,]+),\s*Philippines.*""), TRIM(REGEXREPLACE(REGEXREPLACE(F443, ""(?:.*,\s*)?([^,]+),\s*([^,]+),\s*Philippines.*"", ""$1, $2""), ""\d+"", """")), """")"),"San Narciso, Quezon")</f>
        <v>San Narciso, Quezon</v>
      </c>
    </row>
    <row r="444">
      <c r="A444" s="1" t="s">
        <v>1268</v>
      </c>
      <c r="B444" s="1" t="s">
        <v>1269</v>
      </c>
      <c r="C444" s="1" t="s">
        <v>13</v>
      </c>
      <c r="D444" s="1">
        <v>13.9846753</v>
      </c>
      <c r="E444" s="1">
        <v>121.467701</v>
      </c>
      <c r="F444" s="1" t="s">
        <v>1270</v>
      </c>
      <c r="G444" s="3" t="str">
        <f>IFERROR(__xludf.DUMMYFUNCTION("IF(REGEXMATCH(F444, ""(?:.*,\s*)?([^,]+),\s*([^,]+),\s*Philippines.*""), TRIM(REGEXREPLACE(REGEXREPLACE(F444, ""(?:.*,\s*)?([^,]+),\s*([^,]+),\s*Philippines.*"", ""$1, $2""), ""\d+"", """")), """")"),"Sariaya, Quezon")</f>
        <v>Sariaya, Quezon</v>
      </c>
    </row>
    <row r="445">
      <c r="A445" s="1" t="s">
        <v>1271</v>
      </c>
      <c r="B445" s="1" t="s">
        <v>1272</v>
      </c>
      <c r="C445" s="1" t="s">
        <v>13</v>
      </c>
      <c r="D445" s="1">
        <v>14.2573767</v>
      </c>
      <c r="E445" s="1">
        <v>121.4049749</v>
      </c>
      <c r="F445" s="1" t="s">
        <v>1273</v>
      </c>
      <c r="G445" s="3" t="str">
        <f>IFERROR(__xludf.DUMMYFUNCTION("IF(REGEXMATCH(F445, ""(?:.*,\s*)?([^,]+),\s*([^,]+),\s*Philippines.*""), TRIM(REGEXREPLACE(REGEXREPLACE(F445, ""(?:.*,\s*)?([^,]+),\s*([^,]+),\s*Philippines.*"", ""$1, $2""), ""\d+"", """")), """")"),"Santa Cruz, Laguna")</f>
        <v>Santa Cruz, Laguna</v>
      </c>
    </row>
    <row r="446">
      <c r="A446" s="1" t="s">
        <v>1274</v>
      </c>
      <c r="B446" s="1" t="s">
        <v>1275</v>
      </c>
      <c r="C446" s="1" t="s">
        <v>13</v>
      </c>
      <c r="D446" s="1">
        <v>14.4851481</v>
      </c>
      <c r="E446" s="1">
        <v>121.500796</v>
      </c>
      <c r="F446" s="1" t="s">
        <v>1276</v>
      </c>
      <c r="G446" s="3" t="str">
        <f>IFERROR(__xludf.DUMMYFUNCTION("IF(REGEXMATCH(F446, ""(?:.*,\s*)?([^,]+),\s*([^,]+),\s*Philippines.*""), TRIM(REGEXREPLACE(REGEXREPLACE(F446, ""(?:.*,\s*)?([^,]+),\s*([^,]+),\s*Philippines.*"", ""$1, $2""), ""\d+"", """")), """")"),"Siniloan, Laguna")</f>
        <v>Siniloan, Laguna</v>
      </c>
    </row>
    <row r="447">
      <c r="A447" s="1" t="s">
        <v>1277</v>
      </c>
      <c r="B447" s="1" t="s">
        <v>491</v>
      </c>
      <c r="C447" s="1" t="s">
        <v>13</v>
      </c>
      <c r="D447" s="1">
        <v>14.3746679</v>
      </c>
      <c r="E447" s="1">
        <v>120.8792232</v>
      </c>
      <c r="F447" s="1" t="s">
        <v>1278</v>
      </c>
      <c r="G447" s="3" t="str">
        <f>IFERROR(__xludf.DUMMYFUNCTION("IF(REGEXMATCH(F447, ""(?:.*,\s*)?([^,]+),\s*([^,]+),\s*Philippines.*""), TRIM(REGEXREPLACE(REGEXREPLACE(F447, ""(?:.*,\s*)?([^,]+),\s*([^,]+),\s*Philippines.*"", ""$1, $2""), ""\d+"", """")), """")"),"General Trias, Cavite")</f>
        <v>General Trias, Cavite</v>
      </c>
    </row>
    <row r="448">
      <c r="A448" s="1" t="s">
        <v>1279</v>
      </c>
      <c r="B448" s="1" t="s">
        <v>1280</v>
      </c>
      <c r="C448" s="1" t="s">
        <v>13</v>
      </c>
      <c r="D448" s="1">
        <v>12.879721</v>
      </c>
      <c r="E448" s="1">
        <v>121.774017</v>
      </c>
      <c r="F448" s="1" t="s">
        <v>47</v>
      </c>
      <c r="G448" s="3" t="str">
        <f>IFERROR(__xludf.DUMMYFUNCTION("IF(REGEXMATCH(F448, ""(?:.*,\s*)?([^,]+),\s*([^,]+),\s*Philippines.*""), TRIM(REGEXREPLACE(REGEXREPLACE(F448, ""(?:.*,\s*)?([^,]+),\s*([^,]+),\s*Philippines.*"", ""$1, $2""), ""\d+"", """")), """")"),"")</f>
        <v/>
      </c>
    </row>
    <row r="449">
      <c r="A449" s="1" t="s">
        <v>1281</v>
      </c>
      <c r="B449" s="1" t="s">
        <v>1282</v>
      </c>
      <c r="C449" s="1" t="s">
        <v>9</v>
      </c>
      <c r="D449" s="1">
        <v>14.4408338</v>
      </c>
      <c r="E449" s="1">
        <v>120.9290926</v>
      </c>
      <c r="F449" s="1" t="s">
        <v>1283</v>
      </c>
      <c r="G449" s="3" t="str">
        <f>IFERROR(__xludf.DUMMYFUNCTION("IF(REGEXMATCH(F449, ""(?:.*,\s*)?([^,]+),\s*([^,]+),\s*Philippines.*""), TRIM(REGEXREPLACE(REGEXREPLACE(F449, ""(?:.*,\s*)?([^,]+),\s*([^,]+),\s*Philippines.*"", ""$1, $2""), ""\d+"", """")), """")"),"Imus, Cavite")</f>
        <v>Imus, Cavite</v>
      </c>
    </row>
    <row r="450">
      <c r="A450" s="1" t="s">
        <v>1284</v>
      </c>
      <c r="B450" s="1" t="s">
        <v>1285</v>
      </c>
      <c r="C450" s="1" t="s">
        <v>9</v>
      </c>
      <c r="D450" s="1">
        <v>14.0635622</v>
      </c>
      <c r="E450" s="1">
        <v>121.3352101</v>
      </c>
      <c r="F450" s="1" t="s">
        <v>1286</v>
      </c>
      <c r="G450" s="3" t="str">
        <f>IFERROR(__xludf.DUMMYFUNCTION("IF(REGEXMATCH(F450, ""(?:.*,\s*)?([^,]+),\s*([^,]+),\s*Philippines.*""), TRIM(REGEXREPLACE(REGEXREPLACE(F450, ""(?:.*,\s*)?([^,]+),\s*([^,]+),\s*Philippines.*"", ""$1, $2""), ""\d+"", """")), """")"),"San Pablo City, Laguna")</f>
        <v>San Pablo City, Laguna</v>
      </c>
    </row>
    <row r="451">
      <c r="A451" s="1" t="s">
        <v>1287</v>
      </c>
      <c r="B451" s="1" t="s">
        <v>1288</v>
      </c>
      <c r="C451" s="1" t="s">
        <v>9</v>
      </c>
      <c r="D451" s="1">
        <v>14.3498647</v>
      </c>
      <c r="E451" s="1">
        <v>121.0507791</v>
      </c>
      <c r="F451" s="1" t="s">
        <v>1289</v>
      </c>
      <c r="G451" s="3" t="str">
        <f>IFERROR(__xludf.DUMMYFUNCTION("IF(REGEXMATCH(F451, ""(?:.*,\s*)?([^,]+),\s*([^,]+),\s*Philippines.*""), TRIM(REGEXREPLACE(REGEXREPLACE(F451, ""(?:.*,\s*)?([^,]+),\s*([^,]+),\s*Philippines.*"", ""$1, $2""), ""\d+"", """")), """")"),"San Pedro, Laguna")</f>
        <v>San Pedro, Laguna</v>
      </c>
    </row>
    <row r="452">
      <c r="A452" s="1" t="s">
        <v>1290</v>
      </c>
      <c r="B452" s="1" t="s">
        <v>1291</v>
      </c>
      <c r="C452" s="1" t="s">
        <v>9</v>
      </c>
      <c r="D452" s="1">
        <v>14.5045735</v>
      </c>
      <c r="E452" s="1">
        <v>121.2874911</v>
      </c>
      <c r="F452" s="1" t="s">
        <v>1292</v>
      </c>
      <c r="G452" s="3" t="str">
        <f>IFERROR(__xludf.DUMMYFUNCTION("IF(REGEXMATCH(F452, ""(?:.*,\s*)?([^,]+),\s*([^,]+),\s*Philippines.*""), TRIM(REGEXREPLACE(REGEXREPLACE(F452, ""(?:.*,\s*)?([^,]+),\s*([^,]+),\s*Philippines.*"", ""$1, $2""), ""\d+"", """")), """")"),"Tanay, Rizal")</f>
        <v>Tanay, Rizal</v>
      </c>
    </row>
    <row r="453">
      <c r="A453" s="1" t="s">
        <v>1293</v>
      </c>
      <c r="B453" s="1" t="s">
        <v>1294</v>
      </c>
      <c r="C453" s="1" t="s">
        <v>13</v>
      </c>
      <c r="D453" s="1">
        <v>13.4454441</v>
      </c>
      <c r="E453" s="1">
        <v>122.6220934</v>
      </c>
      <c r="F453" s="1" t="s">
        <v>1295</v>
      </c>
      <c r="G453" s="3" t="str">
        <f>IFERROR(__xludf.DUMMYFUNCTION("IF(REGEXMATCH(F453, ""(?:.*,\s*)?([^,]+),\s*([^,]+),\s*Philippines.*""), TRIM(REGEXREPLACE(REGEXREPLACE(F453, ""(?:.*,\s*)?([^,]+),\s*([^,]+),\s*Philippines.*"", ""$1, $2""), ""\d+"", """")), """")"),"San Narciso, Quezon")</f>
        <v>San Narciso, Quezon</v>
      </c>
    </row>
    <row r="454">
      <c r="A454" s="1" t="s">
        <v>1296</v>
      </c>
      <c r="B454" s="1" t="s">
        <v>1297</v>
      </c>
      <c r="C454" s="1" t="s">
        <v>9</v>
      </c>
      <c r="D454" s="1">
        <v>14.3141037</v>
      </c>
      <c r="E454" s="1">
        <v>121.0727651</v>
      </c>
      <c r="F454" s="1" t="s">
        <v>1298</v>
      </c>
      <c r="G454" s="3" t="str">
        <f>IFERROR(__xludf.DUMMYFUNCTION("IF(REGEXMATCH(F454, ""(?:.*,\s*)?([^,]+),\s*([^,]+),\s*Philippines.*""), TRIM(REGEXREPLACE(REGEXREPLACE(F454, ""(?:.*,\s*)?([^,]+),\s*([^,]+),\s*Philippines.*"", ""$1, $2""), ""\d+"", """")), """")"),"Biñan, Laguna")</f>
        <v>Biñan, Laguna</v>
      </c>
    </row>
    <row r="455">
      <c r="A455" s="1" t="s">
        <v>1299</v>
      </c>
      <c r="B455" s="1" t="s">
        <v>1300</v>
      </c>
      <c r="C455" s="1" t="s">
        <v>13</v>
      </c>
      <c r="D455" s="1">
        <v>13.897202</v>
      </c>
      <c r="E455" s="1">
        <v>122.452573</v>
      </c>
      <c r="F455" s="1" t="s">
        <v>1301</v>
      </c>
      <c r="G455" s="3" t="str">
        <f>IFERROR(__xludf.DUMMYFUNCTION("IF(REGEXMATCH(F455, ""(?:.*,\s*)?([^,]+),\s*([^,]+),\s*Philippines.*""), TRIM(REGEXREPLACE(REGEXREPLACE(F455, ""(?:.*,\s*)?([^,]+),\s*([^,]+),\s*Philippines.*"", ""$1, $2""), ""\d+"", """")), """")"),"Guinayangan, Quezon")</f>
        <v>Guinayangan, Quezon</v>
      </c>
    </row>
    <row r="456">
      <c r="A456" s="1" t="s">
        <v>1302</v>
      </c>
      <c r="B456" s="1" t="s">
        <v>1303</v>
      </c>
      <c r="C456" s="1" t="s">
        <v>9</v>
      </c>
      <c r="D456" s="1">
        <v>13.9189813</v>
      </c>
      <c r="E456" s="1">
        <v>122.4338093</v>
      </c>
      <c r="F456" s="1" t="s">
        <v>1304</v>
      </c>
      <c r="G456" s="3" t="str">
        <f>IFERROR(__xludf.DUMMYFUNCTION("IF(REGEXMATCH(F456, ""(?:.*,\s*)?([^,]+),\s*([^,]+),\s*Philippines.*""), TRIM(REGEXREPLACE(REGEXREPLACE(F456, ""(?:.*,\s*)?([^,]+),\s*([^,]+),\s*Philippines.*"", ""$1, $2""), ""\d+"", """")), """")"),"Guinayangan, Quezon")</f>
        <v>Guinayangan, Quezon</v>
      </c>
    </row>
    <row r="457">
      <c r="A457" s="1" t="s">
        <v>1305</v>
      </c>
      <c r="B457" s="1" t="s">
        <v>1306</v>
      </c>
      <c r="C457" s="1" t="s">
        <v>9</v>
      </c>
      <c r="D457" s="1">
        <v>13.9131349</v>
      </c>
      <c r="E457" s="1">
        <v>122.437956</v>
      </c>
      <c r="F457" s="1" t="s">
        <v>1307</v>
      </c>
      <c r="G457" s="3" t="str">
        <f>IFERROR(__xludf.DUMMYFUNCTION("IF(REGEXMATCH(F457, ""(?:.*,\s*)?([^,]+),\s*([^,]+),\s*Philippines.*""), TRIM(REGEXREPLACE(REGEXREPLACE(F457, ""(?:.*,\s*)?([^,]+),\s*([^,]+),\s*Philippines.*"", ""$1, $2""), ""\d+"", """")), """")"),"Guinayangan, Quezon Province")</f>
        <v>Guinayangan, Quezon Province</v>
      </c>
    </row>
    <row r="458">
      <c r="A458" s="1" t="s">
        <v>1308</v>
      </c>
      <c r="B458" s="1" t="s">
        <v>1309</v>
      </c>
      <c r="C458" s="1" t="s">
        <v>13</v>
      </c>
      <c r="D458" s="1">
        <v>13.9737207</v>
      </c>
      <c r="E458" s="1">
        <v>122.2029832</v>
      </c>
      <c r="F458" s="1" t="s">
        <v>1310</v>
      </c>
      <c r="G458" s="3" t="str">
        <f>IFERROR(__xludf.DUMMYFUNCTION("IF(REGEXMATCH(F458, ""(?:.*,\s*)?([^,]+),\s*([^,]+),\s*Philippines.*""), TRIM(REGEXREPLACE(REGEXREPLACE(F458, ""(?:.*,\s*)?([^,]+),\s*([^,]+),\s*Philippines.*"", ""$1, $2""), ""\d+"", """")), """")"),"Lopez, Quezon")</f>
        <v>Lopez, Quezon</v>
      </c>
    </row>
    <row r="459">
      <c r="A459" s="1" t="s">
        <v>1311</v>
      </c>
      <c r="C459" s="1" t="s">
        <v>13</v>
      </c>
      <c r="D459" s="1">
        <v>13.9435137</v>
      </c>
      <c r="E459" s="1">
        <v>121.6081107</v>
      </c>
      <c r="F459" s="1" t="s">
        <v>1312</v>
      </c>
      <c r="G459" s="3" t="str">
        <f>IFERROR(__xludf.DUMMYFUNCTION("IF(REGEXMATCH(F459, ""(?:.*,\s*)?([^,]+),\s*([^,]+),\s*Philippines.*""), TRIM(REGEXREPLACE(REGEXREPLACE(F459, ""(?:.*,\s*)?([^,]+),\s*([^,]+),\s*Philippines.*"", ""$1, $2""), ""\d+"", """")), """")"),"Lucena City, Quezon")</f>
        <v>Lucena City, Quezon</v>
      </c>
    </row>
    <row r="460">
      <c r="A460" s="1" t="s">
        <v>1313</v>
      </c>
      <c r="B460" s="1" t="s">
        <v>1314</v>
      </c>
      <c r="C460" s="1" t="s">
        <v>9</v>
      </c>
      <c r="D460" s="1">
        <v>13.762423</v>
      </c>
      <c r="E460" s="1">
        <v>121.0825577</v>
      </c>
      <c r="F460" s="1" t="s">
        <v>1315</v>
      </c>
      <c r="G460" s="3" t="str">
        <f>IFERROR(__xludf.DUMMYFUNCTION("IF(REGEXMATCH(F460, ""(?:.*,\s*)?([^,]+),\s*([^,]+),\s*Philippines.*""), TRIM(REGEXREPLACE(REGEXREPLACE(F460, ""(?:.*,\s*)?([^,]+),\s*([^,]+),\s*Philippines.*"", ""$1, $2""), ""\d+"", """")), """")"),"Batangas City, Batangas")</f>
        <v>Batangas City, Batangas</v>
      </c>
    </row>
    <row r="461">
      <c r="A461" s="1" t="s">
        <v>1316</v>
      </c>
      <c r="B461" s="1" t="s">
        <v>1317</v>
      </c>
      <c r="C461" s="1" t="s">
        <v>13</v>
      </c>
      <c r="D461" s="1">
        <v>13.9433961</v>
      </c>
      <c r="E461" s="1">
        <v>122.0464403</v>
      </c>
      <c r="F461" s="1" t="s">
        <v>1318</v>
      </c>
      <c r="G461" s="3" t="str">
        <f>IFERROR(__xludf.DUMMYFUNCTION("IF(REGEXMATCH(F461, ""(?:.*,\s*)?([^,]+),\s*([^,]+),\s*Philippines.*""), TRIM(REGEXREPLACE(REGEXREPLACE(F461, ""(?:.*,\s*)?([^,]+),\s*([^,]+),\s*Philippines.*"", ""$1, $2""), ""\d+"", """")), """")"),"Gumaca, Quezon")</f>
        <v>Gumaca, Quezon</v>
      </c>
    </row>
    <row r="462">
      <c r="A462" s="1" t="s">
        <v>1319</v>
      </c>
      <c r="B462" s="1" t="s">
        <v>1320</v>
      </c>
      <c r="C462" s="1" t="s">
        <v>13</v>
      </c>
      <c r="D462" s="1">
        <v>13.9205904</v>
      </c>
      <c r="E462" s="1">
        <v>122.0988877</v>
      </c>
      <c r="F462" s="1" t="s">
        <v>1321</v>
      </c>
      <c r="G462" s="3" t="str">
        <f>IFERROR(__xludf.DUMMYFUNCTION("IF(REGEXMATCH(F462, ""(?:.*,\s*)?([^,]+),\s*([^,]+),\s*Philippines.*""), TRIM(REGEXREPLACE(REGEXREPLACE(F462, ""(?:.*,\s*)?([^,]+),\s*([^,]+),\s*Philippines.*"", ""$1, $2""), ""\d+"", """")), """")"),"Gumaca, Quezon")</f>
        <v>Gumaca, Quezon</v>
      </c>
    </row>
    <row r="463">
      <c r="A463" s="1" t="s">
        <v>1322</v>
      </c>
      <c r="B463" s="1" t="s">
        <v>1323</v>
      </c>
      <c r="C463" s="1" t="s">
        <v>13</v>
      </c>
      <c r="D463" s="1">
        <v>13.6738302</v>
      </c>
      <c r="E463" s="1">
        <v>122.4713008</v>
      </c>
      <c r="F463" s="1" t="s">
        <v>1324</v>
      </c>
      <c r="G463" s="3" t="str">
        <f>IFERROR(__xludf.DUMMYFUNCTION("IF(REGEXMATCH(F463, ""(?:.*,\s*)?([^,]+),\s*([^,]+),\s*Philippines.*""), TRIM(REGEXREPLACE(REGEXREPLACE(F463, ""(?:.*,\s*)?([^,]+),\s*([^,]+),\s*Philippines.*"", ""$1, $2""), ""\d+"", """")), """")"),"Buenavista, Quezon")</f>
        <v>Buenavista, Quezon</v>
      </c>
    </row>
    <row r="464">
      <c r="A464" s="1" t="s">
        <v>1325</v>
      </c>
      <c r="B464" s="1" t="s">
        <v>491</v>
      </c>
      <c r="C464" s="1" t="s">
        <v>13</v>
      </c>
      <c r="D464" s="1">
        <v>6.9639518</v>
      </c>
      <c r="E464" s="1">
        <v>126.0119441</v>
      </c>
      <c r="F464" s="1" t="s">
        <v>1326</v>
      </c>
      <c r="G464" s="3" t="str">
        <f>IFERROR(__xludf.DUMMYFUNCTION("IF(REGEXMATCH(F464, ""(?:.*,\s*)?([^,]+),\s*([^,]+),\s*Philippines.*""), TRIM(REGEXREPLACE(REGEXREPLACE(F464, ""(?:.*,\s*)?([^,]+),\s*([^,]+),\s*Philippines.*"", ""$1, $2""), ""\d+"", """")), """")"),"Banaybanay, Davao Oriental")</f>
        <v>Banaybanay, Davao Oriental</v>
      </c>
    </row>
    <row r="465">
      <c r="A465" s="1" t="s">
        <v>1327</v>
      </c>
      <c r="B465" s="1" t="s">
        <v>1328</v>
      </c>
      <c r="C465" s="1" t="s">
        <v>9</v>
      </c>
      <c r="D465" s="1">
        <v>14.6123581</v>
      </c>
      <c r="E465" s="1">
        <v>120.9838679</v>
      </c>
      <c r="F465" s="1" t="s">
        <v>1329</v>
      </c>
      <c r="G465" s="3" t="str">
        <f>IFERROR(__xludf.DUMMYFUNCTION("IF(REGEXMATCH(F465, ""(?:.*,\s*)?([^,]+),\s*([^,]+),\s*Philippines.*""), TRIM(REGEXREPLACE(REGEXREPLACE(F465, ""(?:.*,\s*)?([^,]+),\s*([^,]+),\s*Philippines.*"", ""$1, $2""), ""\d+"", """")), """")"),"Manila, Metro Manila")</f>
        <v>Manila, Metro Manila</v>
      </c>
    </row>
    <row r="466">
      <c r="A466" s="1" t="s">
        <v>1330</v>
      </c>
      <c r="B466" s="1" t="s">
        <v>1331</v>
      </c>
      <c r="C466" s="1" t="s">
        <v>766</v>
      </c>
      <c r="D466" s="1">
        <v>14.5905478</v>
      </c>
      <c r="E466" s="1">
        <v>121.1883654</v>
      </c>
      <c r="F466" s="1" t="s">
        <v>1332</v>
      </c>
      <c r="G466" s="3" t="str">
        <f>IFERROR(__xludf.DUMMYFUNCTION("IF(REGEXMATCH(F466, ""(?:.*,\s*)?([^,]+),\s*([^,]+),\s*Philippines.*""), TRIM(REGEXREPLACE(REGEXREPLACE(F466, ""(?:.*,\s*)?([^,]+),\s*([^,]+),\s*Philippines.*"", ""$1, $2""), ""\d+"", """")), """")"),"Antipolo, Rizal")</f>
        <v>Antipolo, Rizal</v>
      </c>
    </row>
    <row r="467">
      <c r="A467" s="1" t="s">
        <v>1333</v>
      </c>
      <c r="B467" s="1" t="s">
        <v>1334</v>
      </c>
      <c r="C467" s="1" t="s">
        <v>13</v>
      </c>
      <c r="D467" s="1">
        <v>13.9501338</v>
      </c>
      <c r="E467" s="1">
        <v>121.8221691</v>
      </c>
      <c r="F467" s="1" t="s">
        <v>1335</v>
      </c>
      <c r="G467" s="3" t="str">
        <f>IFERROR(__xludf.DUMMYFUNCTION("IF(REGEXMATCH(F467, ""(?:.*,\s*)?([^,]+),\s*([^,]+),\s*Philippines.*""), TRIM(REGEXREPLACE(REGEXREPLACE(F467, ""(?:.*,\s*)?([^,]+),\s*([^,]+),\s*Philippines.*"", ""$1, $2""), ""\d+"", """")), """")"),"XRC+V, Quezon")</f>
        <v>XRC+V, Quezon</v>
      </c>
    </row>
    <row r="468">
      <c r="A468" s="1" t="s">
        <v>1336</v>
      </c>
      <c r="B468" s="1" t="s">
        <v>1337</v>
      </c>
      <c r="C468" s="1" t="s">
        <v>13</v>
      </c>
      <c r="D468" s="1">
        <v>14.3440525</v>
      </c>
      <c r="E468" s="1">
        <v>121.0377825</v>
      </c>
      <c r="F468" s="1" t="s">
        <v>1338</v>
      </c>
      <c r="G468" s="3" t="str">
        <f>IFERROR(__xludf.DUMMYFUNCTION("IF(REGEXMATCH(F468, ""(?:.*,\s*)?([^,]+),\s*([^,]+),\s*Philippines.*""), TRIM(REGEXREPLACE(REGEXREPLACE(F468, ""(?:.*,\s*)?([^,]+),\s*([^,]+),\s*Philippines.*"", ""$1, $2""), ""\d+"", """")), """")"),"San Pedro, Laguna")</f>
        <v>San Pedro, Laguna</v>
      </c>
    </row>
    <row r="469">
      <c r="A469" s="1" t="s">
        <v>1339</v>
      </c>
      <c r="C469" s="1" t="s">
        <v>13</v>
      </c>
      <c r="D469" s="1">
        <v>13.916179</v>
      </c>
      <c r="E469" s="1">
        <v>121.8150534</v>
      </c>
      <c r="F469" s="1" t="s">
        <v>1340</v>
      </c>
      <c r="G469" s="3" t="str">
        <f>IFERROR(__xludf.DUMMYFUNCTION("IF(REGEXMATCH(F469, ""(?:.*,\s*)?([^,]+),\s*([^,]+),\s*Philippines.*""), TRIM(REGEXREPLACE(REGEXREPLACE(F469, ""(?:.*,\s*)?([^,]+),\s*([^,]+),\s*Philippines.*"", ""$1, $2""), ""\d+"", """")), """")"),"Pagbilao, Quezon")</f>
        <v>Pagbilao, Quezon</v>
      </c>
    </row>
    <row r="470">
      <c r="A470" s="1" t="s">
        <v>1341</v>
      </c>
      <c r="B470" s="1" t="s">
        <v>1342</v>
      </c>
      <c r="C470" s="1" t="s">
        <v>9</v>
      </c>
      <c r="D470" s="1">
        <v>14.7295662</v>
      </c>
      <c r="E470" s="1">
        <v>121.1353944</v>
      </c>
      <c r="F470" s="1" t="s">
        <v>1343</v>
      </c>
      <c r="G470" s="3" t="str">
        <f>IFERROR(__xludf.DUMMYFUNCTION("IF(REGEXMATCH(F470, ""(?:.*,\s*)?([^,]+),\s*([^,]+),\s*Philippines.*""), TRIM(REGEXREPLACE(REGEXREPLACE(F470, ""(?:.*,\s*)?([^,]+),\s*([^,]+),\s*Philippines.*"", ""$1, $2""), ""\d+"", """")), """")"),"Rodriguez, Rizal")</f>
        <v>Rodriguez, Rizal</v>
      </c>
    </row>
    <row r="471">
      <c r="A471" s="1" t="s">
        <v>1344</v>
      </c>
      <c r="B471" s="1" t="s">
        <v>1345</v>
      </c>
      <c r="C471" s="1" t="s">
        <v>9</v>
      </c>
      <c r="D471" s="1">
        <v>13.8815103</v>
      </c>
      <c r="E471" s="1">
        <v>121.2168684</v>
      </c>
      <c r="F471" s="1" t="s">
        <v>1346</v>
      </c>
      <c r="G471" s="3" t="str">
        <f>IFERROR(__xludf.DUMMYFUNCTION("IF(REGEXMATCH(F471, ""(?:.*,\s*)?([^,]+),\s*([^,]+),\s*Philippines.*""), TRIM(REGEXREPLACE(REGEXREPLACE(F471, ""(?:.*,\s*)?([^,]+),\s*([^,]+),\s*Philippines.*"", ""$1, $2""), ""\d+"", """")), """")"),"Padre Garcia, Batangas")</f>
        <v>Padre Garcia, Batangas</v>
      </c>
    </row>
    <row r="472">
      <c r="A472" s="1" t="s">
        <v>1347</v>
      </c>
      <c r="B472" s="1" t="s">
        <v>1348</v>
      </c>
      <c r="C472" s="1" t="s">
        <v>9</v>
      </c>
      <c r="D472" s="1">
        <v>13.957001</v>
      </c>
      <c r="E472" s="1">
        <v>121.115669</v>
      </c>
      <c r="F472" s="1" t="s">
        <v>1349</v>
      </c>
      <c r="G472" s="3" t="str">
        <f>IFERROR(__xludf.DUMMYFUNCTION("IF(REGEXMATCH(F472, ""(?:.*,\s*)?([^,]+),\s*([^,]+),\s*Philippines.*""), TRIM(REGEXREPLACE(REGEXREPLACE(F472, ""(?:.*,\s*)?([^,]+),\s*([^,]+),\s*Philippines.*"", ""$1, $2""), ""\d+"", """")), """")"),"Mataas Na Kahoy, Batangas")</f>
        <v>Mataas Na Kahoy, Batangas</v>
      </c>
    </row>
    <row r="473">
      <c r="A473" s="1" t="s">
        <v>1350</v>
      </c>
      <c r="B473" s="1" t="s">
        <v>1351</v>
      </c>
      <c r="C473" s="1" t="s">
        <v>9</v>
      </c>
      <c r="D473" s="1">
        <v>10.4826476</v>
      </c>
      <c r="E473" s="1">
        <v>123.4193985</v>
      </c>
      <c r="F473" s="1" t="s">
        <v>1352</v>
      </c>
      <c r="G473" s="3" t="str">
        <f>IFERROR(__xludf.DUMMYFUNCTION("IF(REGEXMATCH(F473, ""(?:.*,\s*)?([^,]+),\s*([^,]+),\s*Philippines.*""), TRIM(REGEXREPLACE(REGEXREPLACE(F473, ""(?:.*,\s*)?([^,]+),\s*([^,]+),\s*Philippines.*"", ""$1, $2""), ""\d+"", """")), """")"),"San Carlos City, Negros Occidental")</f>
        <v>San Carlos City, Negros Occidental</v>
      </c>
    </row>
    <row r="474">
      <c r="A474" s="1" t="s">
        <v>1353</v>
      </c>
      <c r="B474" s="1" t="s">
        <v>1354</v>
      </c>
      <c r="C474" s="1" t="s">
        <v>13</v>
      </c>
      <c r="D474" s="1">
        <v>13.9430277</v>
      </c>
      <c r="E474" s="1">
        <v>122.2469545</v>
      </c>
      <c r="F474" s="1" t="s">
        <v>1355</v>
      </c>
      <c r="G474" s="3" t="str">
        <f>IFERROR(__xludf.DUMMYFUNCTION("IF(REGEXMATCH(F474, ""(?:.*,\s*)?([^,]+),\s*([^,]+),\s*Philippines.*""), TRIM(REGEXREPLACE(REGEXREPLACE(F474, ""(?:.*,\s*)?([^,]+),\s*([^,]+),\s*Philippines.*"", ""$1, $2""), ""\d+"", """")), """")"),"Lopez, Quezon")</f>
        <v>Lopez, Quezon</v>
      </c>
    </row>
    <row r="475">
      <c r="A475" s="1" t="s">
        <v>1356</v>
      </c>
      <c r="C475" s="1" t="s">
        <v>13</v>
      </c>
      <c r="D475" s="1">
        <v>13.9481511</v>
      </c>
      <c r="E475" s="1">
        <v>122.2418555</v>
      </c>
      <c r="F475" s="1" t="s">
        <v>1357</v>
      </c>
      <c r="G475" s="3" t="str">
        <f>IFERROR(__xludf.DUMMYFUNCTION("IF(REGEXMATCH(F475, ""(?:.*,\s*)?([^,]+),\s*([^,]+),\s*Philippines.*""), TRIM(REGEXREPLACE(REGEXREPLACE(F475, ""(?:.*,\s*)?([^,]+),\s*([^,]+),\s*Philippines.*"", ""$1, $2""), ""\d+"", """")), """")"),"Lopez, Quezon")</f>
        <v>Lopez, Quezon</v>
      </c>
    </row>
    <row r="476">
      <c r="A476" s="1" t="s">
        <v>1358</v>
      </c>
      <c r="B476" s="1" t="s">
        <v>1359</v>
      </c>
      <c r="C476" s="1" t="s">
        <v>13</v>
      </c>
      <c r="D476" s="1">
        <v>14.569246</v>
      </c>
      <c r="E476" s="1">
        <v>121.034952</v>
      </c>
      <c r="F476" s="1" t="s">
        <v>1360</v>
      </c>
      <c r="G476" s="3" t="str">
        <f>IFERROR(__xludf.DUMMYFUNCTION("IF(REGEXMATCH(F476, ""(?:.*,\s*)?([^,]+),\s*([^,]+),\s*Philippines.*""), TRIM(REGEXREPLACE(REGEXREPLACE(F476, ""(?:.*,\s*)?([^,]+),\s*([^,]+),\s*Philippines.*"", ""$1, $2""), ""\d+"", """")), """")"),"Mandaluyong City, Metro Manila")</f>
        <v>Mandaluyong City, Metro Manila</v>
      </c>
    </row>
    <row r="477">
      <c r="A477" s="1" t="s">
        <v>1361</v>
      </c>
      <c r="B477" s="1" t="s">
        <v>1362</v>
      </c>
      <c r="C477" s="1" t="s">
        <v>13</v>
      </c>
      <c r="D477" s="1">
        <v>13.2652415</v>
      </c>
      <c r="E477" s="1">
        <v>122.6107881</v>
      </c>
      <c r="F477" s="1" t="s">
        <v>1363</v>
      </c>
      <c r="G477" s="3" t="str">
        <f>IFERROR(__xludf.DUMMYFUNCTION("IF(REGEXMATCH(F477, ""(?:.*,\s*)?([^,]+),\s*([^,]+),\s*Philippines.*""), TRIM(REGEXREPLACE(REGEXREPLACE(F477, ""(?:.*,\s*)?([^,]+),\s*([^,]+),\s*Philippines.*"", ""$1, $2""), ""\d+"", """")), """")"),"San Francisco (Aurora), Quezon")</f>
        <v>San Francisco (Aurora), Quezon</v>
      </c>
    </row>
    <row r="478">
      <c r="A478" s="1" t="s">
        <v>1364</v>
      </c>
      <c r="B478" s="1" t="s">
        <v>1365</v>
      </c>
      <c r="C478" s="1" t="s">
        <v>9</v>
      </c>
      <c r="D478" s="1">
        <v>13.9375631</v>
      </c>
      <c r="E478" s="1">
        <v>121.6137416</v>
      </c>
      <c r="F478" s="1" t="s">
        <v>1366</v>
      </c>
      <c r="G478" s="3" t="str">
        <f>IFERROR(__xludf.DUMMYFUNCTION("IF(REGEXMATCH(F478, ""(?:.*,\s*)?([^,]+),\s*([^,]+),\s*Philippines.*""), TRIM(REGEXREPLACE(REGEXREPLACE(F478, ""(?:.*,\s*)?([^,]+),\s*([^,]+),\s*Philippines.*"", ""$1, $2""), ""\d+"", """")), """")"),"Lucena City, Quezon")</f>
        <v>Lucena City, Quezon</v>
      </c>
    </row>
    <row r="479">
      <c r="A479" s="1" t="s">
        <v>1367</v>
      </c>
      <c r="B479" s="1" t="s">
        <v>1368</v>
      </c>
      <c r="C479" s="1" t="s">
        <v>13</v>
      </c>
      <c r="D479" s="1">
        <v>13.9099138</v>
      </c>
      <c r="E479" s="1">
        <v>121.5808177</v>
      </c>
      <c r="F479" s="1" t="s">
        <v>1369</v>
      </c>
      <c r="G479" s="3" t="str">
        <f>IFERROR(__xludf.DUMMYFUNCTION("IF(REGEXMATCH(F479, ""(?:.*,\s*)?([^,]+),\s*([^,]+),\s*Philippines.*""), TRIM(REGEXREPLACE(REGEXREPLACE(F479, ""(?:.*,\s*)?([^,]+),\s*([^,]+),\s*Philippines.*"", ""$1, $2""), ""\d+"", """")), """")"),"Lucena City, Quezon")</f>
        <v>Lucena City, Quezon</v>
      </c>
    </row>
    <row r="480">
      <c r="A480" s="1" t="s">
        <v>1370</v>
      </c>
      <c r="C480" s="1" t="s">
        <v>13</v>
      </c>
      <c r="D480" s="1">
        <v>14.0526777</v>
      </c>
      <c r="E480" s="1">
        <v>121.2588331</v>
      </c>
      <c r="F480" s="1" t="s">
        <v>1371</v>
      </c>
      <c r="G480" s="3" t="str">
        <f>IFERROR(__xludf.DUMMYFUNCTION("IF(REGEXMATCH(F480, ""(?:.*,\s*)?([^,]+),\s*([^,]+),\s*Philippines.*""), TRIM(REGEXREPLACE(REGEXREPLACE(F480, ""(?:.*,\s*)?([^,]+),\s*([^,]+),\s*Philippines.*"", ""$1, $2""), ""\d+"", """")), """")"),"Alaminos, Laguna")</f>
        <v>Alaminos, Laguna</v>
      </c>
    </row>
    <row r="481">
      <c r="A481" s="1" t="s">
        <v>1372</v>
      </c>
      <c r="B481" s="1" t="s">
        <v>1373</v>
      </c>
      <c r="C481" s="1" t="s">
        <v>9</v>
      </c>
      <c r="D481" s="1">
        <v>14.5834522</v>
      </c>
      <c r="E481" s="1">
        <v>121.1696549</v>
      </c>
      <c r="F481" s="1" t="s">
        <v>1374</v>
      </c>
      <c r="G481" s="3" t="str">
        <f>IFERROR(__xludf.DUMMYFUNCTION("IF(REGEXMATCH(F481, ""(?:.*,\s*)?([^,]+),\s*([^,]+),\s*Philippines.*""), TRIM(REGEXREPLACE(REGEXREPLACE(F481, ""(?:.*,\s*)?([^,]+),\s*([^,]+),\s*Philippines.*"", ""$1, $2""), ""\d+"", """")), """")"),"Antipolo, Rizal")</f>
        <v>Antipolo, Rizal</v>
      </c>
    </row>
    <row r="482">
      <c r="A482" s="1" t="s">
        <v>1375</v>
      </c>
      <c r="B482" s="1" t="s">
        <v>1376</v>
      </c>
      <c r="C482" s="1" t="s">
        <v>9</v>
      </c>
      <c r="D482" s="1">
        <v>14.4796318</v>
      </c>
      <c r="E482" s="1">
        <v>121.1879551</v>
      </c>
      <c r="F482" s="1" t="s">
        <v>1377</v>
      </c>
      <c r="G482" s="3" t="str">
        <f>IFERROR(__xludf.DUMMYFUNCTION("IF(REGEXMATCH(F482, ""(?:.*,\s*)?([^,]+),\s*([^,]+),\s*Philippines.*""), TRIM(REGEXREPLACE(REGEXREPLACE(F482, ""(?:.*,\s*)?([^,]+),\s*([^,]+),\s*Philippines.*"", ""$1, $2""), ""\d+"", """")), """")"),"Binangonan, Rizal")</f>
        <v>Binangonan, Rizal</v>
      </c>
    </row>
    <row r="483">
      <c r="A483" s="1" t="s">
        <v>1378</v>
      </c>
      <c r="B483" s="1" t="s">
        <v>1379</v>
      </c>
      <c r="C483" s="1" t="s">
        <v>9</v>
      </c>
      <c r="D483" s="1">
        <v>14.4796318</v>
      </c>
      <c r="E483" s="1">
        <v>121.1879551</v>
      </c>
      <c r="F483" s="1" t="s">
        <v>1377</v>
      </c>
      <c r="G483" s="3" t="str">
        <f>IFERROR(__xludf.DUMMYFUNCTION("IF(REGEXMATCH(F483, ""(?:.*,\s*)?([^,]+),\s*([^,]+),\s*Philippines.*""), TRIM(REGEXREPLACE(REGEXREPLACE(F483, ""(?:.*,\s*)?([^,]+),\s*([^,]+),\s*Philippines.*"", ""$1, $2""), ""\d+"", """")), """")"),"Binangonan, Rizal")</f>
        <v>Binangonan, Rizal</v>
      </c>
    </row>
    <row r="484">
      <c r="A484" s="1" t="s">
        <v>1380</v>
      </c>
      <c r="B484" s="1" t="s">
        <v>1381</v>
      </c>
      <c r="C484" s="1" t="s">
        <v>9</v>
      </c>
      <c r="D484" s="1">
        <v>14.4796318</v>
      </c>
      <c r="E484" s="1">
        <v>121.1879551</v>
      </c>
      <c r="F484" s="1" t="s">
        <v>1377</v>
      </c>
      <c r="G484" s="3" t="str">
        <f>IFERROR(__xludf.DUMMYFUNCTION("IF(REGEXMATCH(F484, ""(?:.*,\s*)?([^,]+),\s*([^,]+),\s*Philippines.*""), TRIM(REGEXREPLACE(REGEXREPLACE(F484, ""(?:.*,\s*)?([^,]+),\s*([^,]+),\s*Philippines.*"", ""$1, $2""), ""\d+"", """")), """")"),"Binangonan, Rizal")</f>
        <v>Binangonan, Rizal</v>
      </c>
    </row>
    <row r="485">
      <c r="A485" s="1" t="s">
        <v>1382</v>
      </c>
      <c r="B485" s="1" t="s">
        <v>1383</v>
      </c>
      <c r="C485" s="1" t="s">
        <v>9</v>
      </c>
      <c r="D485" s="1">
        <v>14.6177068</v>
      </c>
      <c r="E485" s="1">
        <v>121.1026223</v>
      </c>
      <c r="F485" s="1" t="s">
        <v>1384</v>
      </c>
      <c r="G485" s="3" t="str">
        <f>IFERROR(__xludf.DUMMYFUNCTION("IF(REGEXMATCH(F485, ""(?:.*,\s*)?([^,]+),\s*([^,]+),\s*Philippines.*""), TRIM(REGEXREPLACE(REGEXREPLACE(F485, ""(?:.*,\s*)?([^,]+),\s*([^,]+),\s*Philippines.*"", ""$1, $2""), ""\d+"", """")), """")"),"Cainta, Rizal")</f>
        <v>Cainta, Rizal</v>
      </c>
    </row>
    <row r="486">
      <c r="A486" s="1" t="s">
        <v>1385</v>
      </c>
      <c r="B486" s="1" t="s">
        <v>1386</v>
      </c>
      <c r="C486" s="1" t="s">
        <v>9</v>
      </c>
      <c r="D486" s="1">
        <v>14.6926726</v>
      </c>
      <c r="E486" s="1">
        <v>121.1169832</v>
      </c>
      <c r="F486" s="1" t="s">
        <v>1387</v>
      </c>
      <c r="G486" s="3" t="str">
        <f>IFERROR(__xludf.DUMMYFUNCTION("IF(REGEXMATCH(F486, ""(?:.*,\s*)?([^,]+),\s*([^,]+),\s*Philippines.*""), TRIM(REGEXREPLACE(REGEXREPLACE(F486, ""(?:.*,\s*)?([^,]+),\s*([^,]+),\s*Philippines.*"", ""$1, $2""), ""\d+"", """")), """")"),"San Mateo, Rizal")</f>
        <v>San Mateo, Rizal</v>
      </c>
    </row>
    <row r="487">
      <c r="A487" s="1" t="s">
        <v>1388</v>
      </c>
      <c r="B487" s="1" t="s">
        <v>1389</v>
      </c>
      <c r="C487" s="1" t="s">
        <v>9</v>
      </c>
      <c r="D487" s="1">
        <v>14.633503</v>
      </c>
      <c r="E487" s="1">
        <v>121.1084812</v>
      </c>
      <c r="F487" s="1" t="s">
        <v>1390</v>
      </c>
      <c r="G487" s="3" t="str">
        <f>IFERROR(__xludf.DUMMYFUNCTION("IF(REGEXMATCH(F487, ""(?:.*,\s*)?([^,]+),\s*([^,]+),\s*Philippines.*""), TRIM(REGEXREPLACE(REGEXREPLACE(F487, ""(?:.*,\s*)?([^,]+),\s*([^,]+),\s*Philippines.*"", ""$1, $2""), ""\d+"", """")), """")"),"Cainta, Rizal")</f>
        <v>Cainta, Rizal</v>
      </c>
    </row>
    <row r="488">
      <c r="A488" s="1" t="s">
        <v>1391</v>
      </c>
      <c r="B488" s="1" t="s">
        <v>1392</v>
      </c>
      <c r="C488" s="1" t="s">
        <v>9</v>
      </c>
      <c r="D488" s="1">
        <v>14.557907</v>
      </c>
      <c r="E488" s="1">
        <v>121.1369772</v>
      </c>
      <c r="F488" s="1" t="s">
        <v>1393</v>
      </c>
      <c r="G488" s="3" t="str">
        <f>IFERROR(__xludf.DUMMYFUNCTION("IF(REGEXMATCH(F488, ""(?:.*,\s*)?([^,]+),\s*([^,]+),\s*Philippines.*""), TRIM(REGEXREPLACE(REGEXREPLACE(F488, ""(?:.*,\s*)?([^,]+),\s*([^,]+),\s*Philippines.*"", ""$1, $2""), ""\d+"", """")), """")"),"Taytay, Rizal")</f>
        <v>Taytay, Rizal</v>
      </c>
    </row>
    <row r="489">
      <c r="A489" s="1" t="s">
        <v>1394</v>
      </c>
      <c r="B489" s="1" t="s">
        <v>1395</v>
      </c>
      <c r="C489" s="1" t="s">
        <v>9</v>
      </c>
      <c r="D489" s="1">
        <v>13.9019062</v>
      </c>
      <c r="E489" s="1">
        <v>121.1943864</v>
      </c>
      <c r="F489" s="1" t="s">
        <v>1396</v>
      </c>
      <c r="G489" s="3" t="str">
        <f>IFERROR(__xludf.DUMMYFUNCTION("IF(REGEXMATCH(F489, ""(?:.*,\s*)?([^,]+),\s*([^,]+),\s*Philippines.*""), TRIM(REGEXREPLACE(REGEXREPLACE(F489, ""(?:.*,\s*)?([^,]+),\s*([^,]+),\s*Philippines.*"", ""$1, $2""), ""\d+"", """")), """")"),"Lipa City, Batangas")</f>
        <v>Lipa City, Batangas</v>
      </c>
    </row>
    <row r="490">
      <c r="A490" s="1" t="s">
        <v>1397</v>
      </c>
      <c r="B490" s="1" t="s">
        <v>1398</v>
      </c>
      <c r="C490" s="1" t="s">
        <v>9</v>
      </c>
      <c r="D490" s="1">
        <v>13.9019062</v>
      </c>
      <c r="E490" s="1">
        <v>121.1943864</v>
      </c>
      <c r="F490" s="1" t="s">
        <v>1396</v>
      </c>
      <c r="G490" s="3" t="str">
        <f>IFERROR(__xludf.DUMMYFUNCTION("IF(REGEXMATCH(F490, ""(?:.*,\s*)?([^,]+),\s*([^,]+),\s*Philippines.*""), TRIM(REGEXREPLACE(REGEXREPLACE(F490, ""(?:.*,\s*)?([^,]+),\s*([^,]+),\s*Philippines.*"", ""$1, $2""), ""\d+"", """")), """")"),"Lipa City, Batangas")</f>
        <v>Lipa City, Batangas</v>
      </c>
    </row>
    <row r="491">
      <c r="A491" s="1" t="s">
        <v>1399</v>
      </c>
      <c r="B491" s="1" t="s">
        <v>1400</v>
      </c>
      <c r="C491" s="1" t="s">
        <v>9</v>
      </c>
      <c r="D491" s="1">
        <v>14.3355364</v>
      </c>
      <c r="E491" s="1">
        <v>121.0316271</v>
      </c>
      <c r="F491" s="1" t="s">
        <v>1401</v>
      </c>
      <c r="G491" s="3" t="str">
        <f>IFERROR(__xludf.DUMMYFUNCTION("IF(REGEXMATCH(F491, ""(?:.*,\s*)?([^,]+),\s*([^,]+),\s*Philippines.*""), TRIM(REGEXREPLACE(REGEXREPLACE(F491, ""(?:.*,\s*)?([^,]+),\s*([^,]+),\s*Philippines.*"", ""$1, $2""), ""\d+"", """")), """")"),"San Pedro, Metro Manila")</f>
        <v>San Pedro, Metro Manila</v>
      </c>
    </row>
    <row r="492">
      <c r="A492" s="1" t="s">
        <v>1402</v>
      </c>
      <c r="B492" s="1" t="s">
        <v>1403</v>
      </c>
      <c r="C492" s="1" t="s">
        <v>9</v>
      </c>
      <c r="D492" s="1">
        <v>14.203488</v>
      </c>
      <c r="E492" s="1">
        <v>121.15646</v>
      </c>
      <c r="F492" s="1" t="s">
        <v>1404</v>
      </c>
      <c r="G492" s="3" t="str">
        <f>IFERROR(__xludf.DUMMYFUNCTION("IF(REGEXMATCH(F492, ""(?:.*,\s*)?([^,]+),\s*([^,]+),\s*Philippines.*""), TRIM(REGEXREPLACE(REGEXREPLACE(F492, ""(?:.*,\s*)?([^,]+),\s*([^,]+),\s*Philippines.*"", ""$1, $2""), ""\d+"", """")), """")"),"Calamba, Laguna")</f>
        <v>Calamba, Laguna</v>
      </c>
    </row>
    <row r="493">
      <c r="A493" s="1" t="s">
        <v>1405</v>
      </c>
      <c r="B493" s="1" t="s">
        <v>1406</v>
      </c>
      <c r="C493" s="1" t="s">
        <v>13</v>
      </c>
      <c r="D493" s="1">
        <v>13.8231463</v>
      </c>
      <c r="E493" s="1">
        <v>122.2398636</v>
      </c>
      <c r="F493" s="1" t="s">
        <v>1407</v>
      </c>
      <c r="G493" s="3" t="str">
        <f>IFERROR(__xludf.DUMMYFUNCTION("IF(REGEXMATCH(F493, ""(?:.*,\s*)?([^,]+),\s*([^,]+),\s*Philippines.*""), TRIM(REGEXREPLACE(REGEXREPLACE(F493, ""(?:.*,\s*)?([^,]+),\s*([^,]+),\s*Philippines.*"", ""$1, $2""), ""\d+"", """")), """")"),"Lopez, Quezon")</f>
        <v>Lopez, Quezon</v>
      </c>
    </row>
    <row r="494">
      <c r="A494" s="1" t="s">
        <v>1408</v>
      </c>
      <c r="B494" s="1" t="s">
        <v>1409</v>
      </c>
      <c r="C494" s="1" t="s">
        <v>13</v>
      </c>
      <c r="D494" s="1">
        <v>13.4536358</v>
      </c>
      <c r="E494" s="1">
        <v>122.5231281</v>
      </c>
      <c r="F494" s="1" t="s">
        <v>1410</v>
      </c>
      <c r="G494" s="3" t="str">
        <f>IFERROR(__xludf.DUMMYFUNCTION("IF(REGEXMATCH(F494, ""(?:.*,\s*)?([^,]+),\s*([^,]+),\s*Philippines.*""), TRIM(REGEXREPLACE(REGEXREPLACE(F494, ""(?:.*,\s*)?([^,]+),\s*([^,]+),\s*Philippines.*"", ""$1, $2""), ""\d+"", """")), """")"),"Mulanay, Quezon")</f>
        <v>Mulanay, Quezon</v>
      </c>
    </row>
    <row r="495">
      <c r="A495" s="1" t="s">
        <v>1411</v>
      </c>
      <c r="B495" s="1" t="s">
        <v>1412</v>
      </c>
      <c r="C495" s="1" t="s">
        <v>9</v>
      </c>
      <c r="D495" s="1">
        <v>14.4427824</v>
      </c>
      <c r="E495" s="1">
        <v>120.9515499</v>
      </c>
      <c r="F495" s="1" t="s">
        <v>1413</v>
      </c>
      <c r="G495" s="3" t="str">
        <f>IFERROR(__xludf.DUMMYFUNCTION("IF(REGEXMATCH(F495, ""(?:.*,\s*)?([^,]+),\s*([^,]+),\s*Philippines.*""), TRIM(REGEXREPLACE(REGEXREPLACE(F495, ""(?:.*,\s*)?([^,]+),\s*([^,]+),\s*Philippines.*"", ""$1, $2""), ""\d+"", """")), """")"),"Bacoor, Cavite")</f>
        <v>Bacoor, Cavite</v>
      </c>
    </row>
    <row r="496">
      <c r="A496" s="1" t="s">
        <v>1414</v>
      </c>
      <c r="B496" s="1" t="s">
        <v>1415</v>
      </c>
      <c r="C496" s="1" t="s">
        <v>13</v>
      </c>
      <c r="D496" s="1">
        <v>14.2691095</v>
      </c>
      <c r="E496" s="1">
        <v>121.4113308</v>
      </c>
      <c r="F496" s="1" t="s">
        <v>1416</v>
      </c>
      <c r="G496" s="3" t="str">
        <f>IFERROR(__xludf.DUMMYFUNCTION("IF(REGEXMATCH(F496, ""(?:.*,\s*)?([^,]+),\s*([^,]+),\s*Philippines.*""), TRIM(REGEXREPLACE(REGEXREPLACE(F496, ""(?:.*,\s*)?([^,]+),\s*([^,]+),\s*Philippines.*"", ""$1, $2""), ""\d+"", """")), """")"),"Santa Cruz, Laguna")</f>
        <v>Santa Cruz, Laguna</v>
      </c>
    </row>
    <row r="497">
      <c r="A497" s="1" t="s">
        <v>1417</v>
      </c>
      <c r="B497" s="1" t="s">
        <v>1418</v>
      </c>
      <c r="C497" s="1" t="s">
        <v>13</v>
      </c>
      <c r="D497" s="1">
        <v>14.3218948</v>
      </c>
      <c r="E497" s="1">
        <v>120.93373</v>
      </c>
      <c r="F497" s="1" t="s">
        <v>1419</v>
      </c>
      <c r="G497" s="3" t="str">
        <f>IFERROR(__xludf.DUMMYFUNCTION("IF(REGEXMATCH(F497, ""(?:.*,\s*)?([^,]+),\s*([^,]+),\s*Philippines.*""), TRIM(REGEXREPLACE(REGEXREPLACE(F497, ""(?:.*,\s*)?([^,]+),\s*([^,]+),\s*Philippines.*"", ""$1, $2""), ""\d+"", """")), """")"),"Dasmariñas, Cavite")</f>
        <v>Dasmariñas, Cavite</v>
      </c>
    </row>
    <row r="498">
      <c r="A498" s="1" t="s">
        <v>1420</v>
      </c>
      <c r="B498" s="1" t="s">
        <v>1421</v>
      </c>
      <c r="C498" s="1" t="s">
        <v>9</v>
      </c>
      <c r="D498" s="1">
        <v>14.3511355</v>
      </c>
      <c r="E498" s="1">
        <v>121.0548037</v>
      </c>
      <c r="F498" s="1" t="s">
        <v>1422</v>
      </c>
      <c r="G498" s="3" t="str">
        <f>IFERROR(__xludf.DUMMYFUNCTION("IF(REGEXMATCH(F498, ""(?:.*,\s*)?([^,]+),\s*([^,]+),\s*Philippines.*""), TRIM(REGEXREPLACE(REGEXREPLACE(F498, ""(?:.*,\s*)?([^,]+),\s*([^,]+),\s*Philippines.*"", ""$1, $2""), ""\d+"", """")), """")"),"San Pedro, Laguna")</f>
        <v>San Pedro, Laguna</v>
      </c>
    </row>
    <row r="499">
      <c r="A499" s="1" t="s">
        <v>1423</v>
      </c>
      <c r="B499" s="1" t="s">
        <v>1424</v>
      </c>
      <c r="C499" s="1" t="s">
        <v>13</v>
      </c>
      <c r="D499" s="1">
        <v>14.1990173</v>
      </c>
      <c r="E499" s="1">
        <v>120.8740117</v>
      </c>
      <c r="F499" s="1" t="s">
        <v>1425</v>
      </c>
      <c r="G499" s="3" t="str">
        <f>IFERROR(__xludf.DUMMYFUNCTION("IF(REGEXMATCH(F499, ""(?:.*,\s*)?([^,]+),\s*([^,]+),\s*Philippines.*""), TRIM(REGEXREPLACE(REGEXREPLACE(F499, ""(?:.*,\s*)?([^,]+),\s*([^,]+),\s*Philippines.*"", ""$1, $2""), ""\d+"", """")), """")"),"Indang, Cavite")</f>
        <v>Indang, Cavite</v>
      </c>
    </row>
    <row r="500">
      <c r="A500" s="1" t="s">
        <v>1426</v>
      </c>
      <c r="B500" s="1" t="s">
        <v>1427</v>
      </c>
      <c r="C500" s="1" t="s">
        <v>13</v>
      </c>
      <c r="D500" s="1">
        <v>14.224108</v>
      </c>
      <c r="E500" s="1">
        <v>120.9749051</v>
      </c>
      <c r="F500" s="1" t="s">
        <v>1428</v>
      </c>
      <c r="G500" s="3" t="str">
        <f>IFERROR(__xludf.DUMMYFUNCTION("IF(REGEXMATCH(F500, ""(?:.*,\s*)?([^,]+),\s*([^,]+),\s*Philippines.*""), TRIM(REGEXREPLACE(REGEXREPLACE(F500, ""(?:.*,\s*)?([^,]+),\s*([^,]+),\s*Philippines.*"", ""$1, $2""), ""\d+"", """")), """")"),"Silang, Cavite")</f>
        <v>Silang, Cavite</v>
      </c>
    </row>
    <row r="501">
      <c r="A501" s="1" t="s">
        <v>1429</v>
      </c>
      <c r="B501" s="1" t="s">
        <v>1430</v>
      </c>
      <c r="C501" s="1" t="s">
        <v>13</v>
      </c>
      <c r="D501" s="1">
        <v>14.7407062</v>
      </c>
      <c r="E501" s="1">
        <v>121.6451014</v>
      </c>
      <c r="F501" s="1" t="s">
        <v>1431</v>
      </c>
      <c r="G501" s="3" t="str">
        <f>IFERROR(__xludf.DUMMYFUNCTION("IF(REGEXMATCH(F501, ""(?:.*,\s*)?([^,]+),\s*([^,]+),\s*Philippines.*""), TRIM(REGEXREPLACE(REGEXREPLACE(F501, ""(?:.*,\s*)?([^,]+),\s*([^,]+),\s*Philippines.*"", ""$1, $2""), ""\d+"", """")), """")"),"Infanta, Quezon")</f>
        <v>Infanta, Quezon</v>
      </c>
    </row>
    <row r="502">
      <c r="A502" s="1" t="s">
        <v>1432</v>
      </c>
      <c r="B502" s="1" t="s">
        <v>1433</v>
      </c>
      <c r="C502" s="1" t="s">
        <v>9</v>
      </c>
      <c r="D502" s="1">
        <v>14.3921711</v>
      </c>
      <c r="E502" s="1">
        <v>120.9399899</v>
      </c>
      <c r="F502" s="1" t="s">
        <v>1434</v>
      </c>
      <c r="G502" s="3" t="str">
        <f>IFERROR(__xludf.DUMMYFUNCTION("IF(REGEXMATCH(F502, ""(?:.*,\s*)?([^,]+),\s*([^,]+),\s*Philippines.*""), TRIM(REGEXREPLACE(REGEXREPLACE(F502, ""(?:.*,\s*)?([^,]+),\s*([^,]+),\s*Philippines.*"", ""$1, $2""), ""\d+"", """")), """")"),"Imus, Cavite")</f>
        <v>Imus, Cavite</v>
      </c>
    </row>
    <row r="503">
      <c r="A503" s="1" t="s">
        <v>1435</v>
      </c>
      <c r="B503" s="1" t="s">
        <v>1436</v>
      </c>
      <c r="C503" s="1" t="s">
        <v>9</v>
      </c>
      <c r="D503" s="1">
        <v>14.3921711</v>
      </c>
      <c r="E503" s="1">
        <v>120.9399899</v>
      </c>
      <c r="F503" s="1" t="s">
        <v>1437</v>
      </c>
      <c r="G503" s="3" t="str">
        <f>IFERROR(__xludf.DUMMYFUNCTION("IF(REGEXMATCH(F503, ""(?:.*,\s*)?([^,]+),\s*([^,]+),\s*Philippines.*""), TRIM(REGEXREPLACE(REGEXREPLACE(F503, ""(?:.*,\s*)?([^,]+),\s*([^,]+),\s*Philippines.*"", ""$1, $2""), ""\d+"", """")), """")"),"Imus, Cavite")</f>
        <v>Imus, Cavite</v>
      </c>
    </row>
    <row r="504">
      <c r="A504" s="1" t="s">
        <v>1438</v>
      </c>
      <c r="B504" s="1" t="s">
        <v>1439</v>
      </c>
      <c r="C504" s="1" t="s">
        <v>9</v>
      </c>
      <c r="D504" s="1">
        <v>13.9481404</v>
      </c>
      <c r="E504" s="1">
        <v>121.5859747</v>
      </c>
      <c r="F504" s="1" t="s">
        <v>1440</v>
      </c>
      <c r="G504" s="3" t="str">
        <f>IFERROR(__xludf.DUMMYFUNCTION("IF(REGEXMATCH(F504, ""(?:.*,\s*)?([^,]+),\s*([^,]+),\s*Philippines.*""), TRIM(REGEXREPLACE(REGEXREPLACE(F504, ""(?:.*,\s*)?([^,]+),\s*([^,]+),\s*Philippines.*"", ""$1, $2""), ""\d+"", """")), """")"),"Lucena City, Quezon")</f>
        <v>Lucena City, Quezon</v>
      </c>
    </row>
    <row r="505">
      <c r="A505" s="1" t="s">
        <v>1441</v>
      </c>
      <c r="B505" s="1" t="s">
        <v>1442</v>
      </c>
      <c r="C505" s="1" t="s">
        <v>9</v>
      </c>
      <c r="D505" s="1">
        <v>14.625765</v>
      </c>
      <c r="E505" s="1">
        <v>121.1453471</v>
      </c>
      <c r="F505" s="1" t="s">
        <v>1443</v>
      </c>
      <c r="G505" s="3" t="str">
        <f>IFERROR(__xludf.DUMMYFUNCTION("IF(REGEXMATCH(F505, ""(?:.*,\s*)?([^,]+),\s*([^,]+),\s*Philippines.*""), TRIM(REGEXREPLACE(REGEXREPLACE(F505, ""(?:.*,\s*)?([^,]+),\s*([^,]+),\s*Philippines.*"", ""$1, $2""), ""\d+"", """")), """")"),"Antipolo, Rizal")</f>
        <v>Antipolo, Rizal</v>
      </c>
    </row>
    <row r="506">
      <c r="A506" s="1" t="s">
        <v>1444</v>
      </c>
      <c r="B506" s="1" t="s">
        <v>1445</v>
      </c>
      <c r="C506" s="1" t="s">
        <v>9</v>
      </c>
      <c r="D506" s="1">
        <v>14.5908863</v>
      </c>
      <c r="E506" s="1">
        <v>121.1772803</v>
      </c>
      <c r="F506" s="1" t="s">
        <v>1446</v>
      </c>
      <c r="G506" s="3" t="str">
        <f>IFERROR(__xludf.DUMMYFUNCTION("IF(REGEXMATCH(F506, ""(?:.*,\s*)?([^,]+),\s*([^,]+),\s*Philippines.*""), TRIM(REGEXREPLACE(REGEXREPLACE(F506, ""(?:.*,\s*)?([^,]+),\s*([^,]+),\s*Philippines.*"", ""$1, $2""), ""\d+"", """")), """")"),"Antipolo, Rizal")</f>
        <v>Antipolo, Rizal</v>
      </c>
    </row>
    <row r="507">
      <c r="A507" s="1" t="s">
        <v>1447</v>
      </c>
      <c r="B507" s="1" t="s">
        <v>1448</v>
      </c>
      <c r="C507" s="1" t="s">
        <v>13</v>
      </c>
      <c r="D507" s="1">
        <v>13.9754036</v>
      </c>
      <c r="E507" s="1">
        <v>121.1678243</v>
      </c>
      <c r="F507" s="1" t="s">
        <v>1449</v>
      </c>
      <c r="G507" s="3" t="str">
        <f>IFERROR(__xludf.DUMMYFUNCTION("IF(REGEXMATCH(F507, ""(?:.*,\s*)?([^,]+),\s*([^,]+),\s*Philippines.*""), TRIM(REGEXREPLACE(REGEXREPLACE(F507, ""(?:.*,\s*)?([^,]+),\s*([^,]+),\s*Philippines.*"", ""$1, $2""), ""\d+"", """")), """")"),"Lipa City, Batangas")</f>
        <v>Lipa City, Batangas</v>
      </c>
    </row>
    <row r="508">
      <c r="A508" s="1" t="s">
        <v>1450</v>
      </c>
      <c r="B508" s="1" t="s">
        <v>1451</v>
      </c>
      <c r="C508" s="1" t="s">
        <v>13</v>
      </c>
      <c r="D508" s="1">
        <v>14.2083125</v>
      </c>
      <c r="E508" s="1">
        <v>121.1412208</v>
      </c>
      <c r="F508" s="1" t="s">
        <v>1452</v>
      </c>
      <c r="G508" s="3" t="str">
        <f>IFERROR(__xludf.DUMMYFUNCTION("IF(REGEXMATCH(F508, ""(?:.*,\s*)?([^,]+),\s*([^,]+),\s*Philippines.*""), TRIM(REGEXREPLACE(REGEXREPLACE(F508, ""(?:.*,\s*)?([^,]+),\s*([^,]+),\s*Philippines.*"", ""$1, $2""), ""\d+"", """")), """")"),"Calamba, Laguna")</f>
        <v>Calamba, Laguna</v>
      </c>
    </row>
    <row r="509">
      <c r="A509" s="1" t="s">
        <v>1453</v>
      </c>
      <c r="B509" s="1" t="s">
        <v>1454</v>
      </c>
      <c r="C509" s="1" t="s">
        <v>9</v>
      </c>
      <c r="D509" s="1">
        <v>13.9573787</v>
      </c>
      <c r="E509" s="1">
        <v>121.5921618</v>
      </c>
      <c r="F509" s="1" t="s">
        <v>1455</v>
      </c>
      <c r="G509" s="3" t="str">
        <f>IFERROR(__xludf.DUMMYFUNCTION("IF(REGEXMATCH(F509, ""(?:.*,\s*)?([^,]+),\s*([^,]+),\s*Philippines.*""), TRIM(REGEXREPLACE(REGEXREPLACE(F509, ""(?:.*,\s*)?([^,]+),\s*([^,]+),\s*Philippines.*"", ""$1, $2""), ""\d+"", """")), """")"),"Lucena City, Quezon")</f>
        <v>Lucena City, Quezon</v>
      </c>
    </row>
    <row r="510">
      <c r="A510" s="1" t="s">
        <v>1456</v>
      </c>
      <c r="B510" s="1" t="s">
        <v>1457</v>
      </c>
      <c r="C510" s="1" t="s">
        <v>9</v>
      </c>
      <c r="D510" s="1">
        <v>14.334145</v>
      </c>
      <c r="E510" s="1">
        <v>121.081011</v>
      </c>
      <c r="F510" s="1" t="s">
        <v>1458</v>
      </c>
      <c r="G510" s="3" t="str">
        <f>IFERROR(__xludf.DUMMYFUNCTION("IF(REGEXMATCH(F510, ""(?:.*,\s*)?([^,]+),\s*([^,]+),\s*Philippines.*""), TRIM(REGEXREPLACE(REGEXREPLACE(F510, ""(?:.*,\s*)?([^,]+),\s*([^,]+),\s*Philippines.*"", ""$1, $2""), ""\d+"", """")), """")"),"Biñan, Cavite")</f>
        <v>Biñan, Cavite</v>
      </c>
    </row>
    <row r="511">
      <c r="A511" s="1" t="s">
        <v>1459</v>
      </c>
      <c r="B511" s="1" t="s">
        <v>1460</v>
      </c>
      <c r="C511" s="1" t="s">
        <v>9</v>
      </c>
      <c r="D511" s="1">
        <v>14.2140415</v>
      </c>
      <c r="E511" s="1">
        <v>121.1711514</v>
      </c>
      <c r="F511" s="1" t="s">
        <v>1461</v>
      </c>
      <c r="G511" s="3" t="str">
        <f>IFERROR(__xludf.DUMMYFUNCTION("IF(REGEXMATCH(F511, ""(?:.*,\s*)?([^,]+),\s*([^,]+),\s*Philippines.*""), TRIM(REGEXREPLACE(REGEXREPLACE(F511, ""(?:.*,\s*)?([^,]+),\s*([^,]+),\s*Philippines.*"", ""$1, $2""), ""\d+"", """")), """")"),"Calamba, Laguna")</f>
        <v>Calamba, Laguna</v>
      </c>
    </row>
    <row r="512">
      <c r="A512" s="1" t="s">
        <v>1462</v>
      </c>
      <c r="B512" s="1" t="s">
        <v>1463</v>
      </c>
      <c r="C512" s="1" t="s">
        <v>9</v>
      </c>
      <c r="D512" s="1">
        <v>14.419762</v>
      </c>
      <c r="E512" s="1">
        <v>120.941301</v>
      </c>
      <c r="F512" s="1" t="s">
        <v>1464</v>
      </c>
      <c r="G512" s="3" t="str">
        <f>IFERROR(__xludf.DUMMYFUNCTION("IF(REGEXMATCH(F512, ""(?:.*,\s*)?([^,]+),\s*([^,]+),\s*Philippines.*""), TRIM(REGEXREPLACE(REGEXREPLACE(F512, ""(?:.*,\s*)?([^,]+),\s*([^,]+),\s*Philippines.*"", ""$1, $2""), ""\d+"", """")), """")"),"Imus, Cavite")</f>
        <v>Imus, Cavite</v>
      </c>
    </row>
    <row r="513">
      <c r="A513" s="1" t="s">
        <v>1465</v>
      </c>
      <c r="B513" s="1" t="s">
        <v>1466</v>
      </c>
      <c r="C513" s="1" t="s">
        <v>9</v>
      </c>
      <c r="D513" s="1">
        <v>14.5787997</v>
      </c>
      <c r="E513" s="1">
        <v>121.3620348</v>
      </c>
      <c r="F513" s="1" t="s">
        <v>1467</v>
      </c>
      <c r="G513" s="3" t="str">
        <f>IFERROR(__xludf.DUMMYFUNCTION("IF(REGEXMATCH(F513, ""(?:.*,\s*)?([^,]+),\s*([^,]+),\s*Philippines.*""), TRIM(REGEXREPLACE(REGEXREPLACE(F513, ""(?:.*,\s*)?([^,]+),\s*([^,]+),\s*Philippines.*"", ""$1, $2""), ""\d+"", """")), """")"),"Tanay, Rizal")</f>
        <v>Tanay, Rizal</v>
      </c>
    </row>
    <row r="514">
      <c r="A514" s="1" t="s">
        <v>1468</v>
      </c>
      <c r="B514" s="1" t="s">
        <v>1469</v>
      </c>
      <c r="C514" s="1" t="s">
        <v>9</v>
      </c>
      <c r="D514" s="1">
        <v>14.4219984</v>
      </c>
      <c r="E514" s="1">
        <v>120.9750134</v>
      </c>
      <c r="F514" s="1" t="s">
        <v>300</v>
      </c>
      <c r="G514" s="3" t="str">
        <f>IFERROR(__xludf.DUMMYFUNCTION("IF(REGEXMATCH(F514, ""(?:.*,\s*)?([^,]+),\s*([^,]+),\s*Philippines.*""), TRIM(REGEXREPLACE(REGEXREPLACE(F514, ""(?:.*,\s*)?([^,]+),\s*([^,]+),\s*Philippines.*"", ""$1, $2""), ""\d+"", """")), """")"),"Bacoor, Cavite")</f>
        <v>Bacoor, Cavite</v>
      </c>
    </row>
    <row r="515">
      <c r="A515" s="1" t="s">
        <v>1470</v>
      </c>
      <c r="B515" s="1" t="s">
        <v>1471</v>
      </c>
      <c r="C515" s="1" t="s">
        <v>9</v>
      </c>
      <c r="D515" s="1">
        <v>14.4482129</v>
      </c>
      <c r="E515" s="1">
        <v>120.9411833</v>
      </c>
      <c r="F515" s="1" t="s">
        <v>1472</v>
      </c>
      <c r="G515" s="3" t="str">
        <f>IFERROR(__xludf.DUMMYFUNCTION("IF(REGEXMATCH(F515, ""(?:.*,\s*)?([^,]+),\s*([^,]+),\s*Philippines.*""), TRIM(REGEXREPLACE(REGEXREPLACE(F515, ""(?:.*,\s*)?([^,]+),\s*([^,]+),\s*Philippines.*"", ""$1, $2""), ""\d+"", """")), """")"),"Bacoor, Cavite")</f>
        <v>Bacoor, Cavite</v>
      </c>
    </row>
    <row r="516">
      <c r="A516" s="1" t="s">
        <v>1473</v>
      </c>
      <c r="B516" s="1" t="s">
        <v>1474</v>
      </c>
      <c r="C516" s="1" t="s">
        <v>9</v>
      </c>
      <c r="D516" s="1">
        <v>14.3571245</v>
      </c>
      <c r="E516" s="1">
        <v>120.9374332</v>
      </c>
      <c r="F516" s="1" t="s">
        <v>1475</v>
      </c>
      <c r="G516" s="3" t="str">
        <f>IFERROR(__xludf.DUMMYFUNCTION("IF(REGEXMATCH(F516, ""(?:.*,\s*)?([^,]+),\s*([^,]+),\s*Philippines.*""), TRIM(REGEXREPLACE(REGEXREPLACE(F516, ""(?:.*,\s*)?([^,]+),\s*([^,]+),\s*Philippines.*"", ""$1, $2""), ""\d+"", """")), """")"),"Dasmariñas, Cavite")</f>
        <v>Dasmariñas, Cavite</v>
      </c>
    </row>
    <row r="517">
      <c r="A517" s="1" t="s">
        <v>1476</v>
      </c>
      <c r="B517" s="1" t="s">
        <v>1477</v>
      </c>
      <c r="C517" s="1" t="s">
        <v>9</v>
      </c>
      <c r="D517" s="1">
        <v>14.4139407</v>
      </c>
      <c r="E517" s="1">
        <v>120.8572531</v>
      </c>
      <c r="F517" s="1" t="s">
        <v>1478</v>
      </c>
      <c r="G517" s="3" t="str">
        <f>IFERROR(__xludf.DUMMYFUNCTION("IF(REGEXMATCH(F517, ""(?:.*,\s*)?([^,]+),\s*([^,]+),\s*Philippines.*""), TRIM(REGEXREPLACE(REGEXREPLACE(F517, ""(?:.*,\s*)?([^,]+),\s*([^,]+),\s*Philippines.*"", ""$1, $2""), ""\d+"", """")), """")"),"Rosario, Cavite")</f>
        <v>Rosario, Cavite</v>
      </c>
    </row>
    <row r="518">
      <c r="A518" s="1" t="s">
        <v>1479</v>
      </c>
      <c r="B518" s="1" t="s">
        <v>1480</v>
      </c>
      <c r="C518" s="1" t="s">
        <v>13</v>
      </c>
      <c r="D518" s="1">
        <v>13.8185693</v>
      </c>
      <c r="E518" s="1">
        <v>121.2025336</v>
      </c>
      <c r="F518" s="1" t="s">
        <v>1481</v>
      </c>
      <c r="G518" s="3" t="str">
        <f>IFERROR(__xludf.DUMMYFUNCTION("IF(REGEXMATCH(F518, ""(?:.*,\s*)?([^,]+),\s*([^,]+),\s*Philippines.*""), TRIM(REGEXREPLACE(REGEXREPLACE(F518, ""(?:.*,\s*)?([^,]+),\s*([^,]+),\s*Philippines.*"", ""$1, $2""), ""\d+"", """")), """")"),"Rosario, Batangas")</f>
        <v>Rosario, Batangas</v>
      </c>
    </row>
    <row r="519">
      <c r="A519" s="1" t="s">
        <v>1482</v>
      </c>
      <c r="B519" s="1" t="s">
        <v>1483</v>
      </c>
      <c r="C519" s="1" t="s">
        <v>13</v>
      </c>
      <c r="D519" s="1">
        <v>14.563273</v>
      </c>
      <c r="E519" s="1">
        <v>121.4414415</v>
      </c>
      <c r="F519" s="1" t="s">
        <v>1484</v>
      </c>
      <c r="G519" s="3" t="str">
        <f>IFERROR(__xludf.DUMMYFUNCTION("IF(REGEXMATCH(F519, ""(?:.*,\s*)?([^,]+),\s*([^,]+),\s*Philippines.*""), TRIM(REGEXREPLACE(REGEXREPLACE(F519, ""(?:.*,\s*)?([^,]+),\s*([^,]+),\s*Philippines.*"", ""$1, $2""), ""\d+"", """")), """")"),"Tanay, Rizal")</f>
        <v>Tanay, Rizal</v>
      </c>
    </row>
    <row r="520">
      <c r="A520" s="1" t="s">
        <v>1485</v>
      </c>
      <c r="B520" s="1" t="s">
        <v>1486</v>
      </c>
      <c r="C520" s="1" t="s">
        <v>13</v>
      </c>
      <c r="D520" s="1">
        <v>13.4155777</v>
      </c>
      <c r="E520" s="1">
        <v>122.517367</v>
      </c>
      <c r="F520" s="1" t="s">
        <v>1487</v>
      </c>
      <c r="G520" s="3" t="str">
        <f>IFERROR(__xludf.DUMMYFUNCTION("IF(REGEXMATCH(F520, ""(?:.*,\s*)?([^,]+),\s*([^,]+),\s*Philippines.*""), TRIM(REGEXREPLACE(REGEXREPLACE(F520, ""(?:.*,\s*)?([^,]+),\s*([^,]+),\s*Philippines.*"", ""$1, $2""), ""\d+"", """")), """")"),"San Francisco (Aurora), Quezon")</f>
        <v>San Francisco (Aurora), Quezon</v>
      </c>
    </row>
    <row r="521">
      <c r="A521" s="1" t="s">
        <v>1488</v>
      </c>
      <c r="B521" s="1" t="s">
        <v>1489</v>
      </c>
      <c r="C521" s="1" t="s">
        <v>13</v>
      </c>
      <c r="D521" s="1">
        <v>14.3534587</v>
      </c>
      <c r="E521" s="1">
        <v>121.3253907</v>
      </c>
      <c r="F521" s="1" t="s">
        <v>1490</v>
      </c>
      <c r="G521" s="3" t="str">
        <f>IFERROR(__xludf.DUMMYFUNCTION("IF(REGEXMATCH(F521, ""(?:.*,\s*)?([^,]+),\s*([^,]+),\s*Philippines.*""), TRIM(REGEXREPLACE(REGEXREPLACE(F521, ""(?:.*,\s*)?([^,]+),\s*([^,]+),\s*Philippines.*"", ""$1, $2""), ""\d+"", """")), """")"),"Jala-jala, Rizal")</f>
        <v>Jala-jala, Rizal</v>
      </c>
    </row>
    <row r="522">
      <c r="A522" s="1" t="s">
        <v>1491</v>
      </c>
      <c r="B522" s="1" t="s">
        <v>1492</v>
      </c>
      <c r="C522" s="1" t="s">
        <v>13</v>
      </c>
      <c r="D522" s="1">
        <v>14.3524945</v>
      </c>
      <c r="E522" s="1">
        <v>121.2190247</v>
      </c>
      <c r="F522" s="1" t="s">
        <v>1493</v>
      </c>
      <c r="G522" s="3" t="str">
        <f>IFERROR(__xludf.DUMMYFUNCTION("IF(REGEXMATCH(F522, ""(?:.*,\s*)?([^,]+),\s*([^,]+),\s*Philippines.*""), TRIM(REGEXREPLACE(REGEXREPLACE(F522, ""(?:.*,\s*)?([^,]+),\s*([^,]+),\s*Philippines.*"", ""$1, $2""), ""\d+"", """")), """")"),"Binangonan, Rizal")</f>
        <v>Binangonan, Rizal</v>
      </c>
    </row>
    <row r="523">
      <c r="A523" s="1" t="s">
        <v>1494</v>
      </c>
      <c r="B523" s="1" t="s">
        <v>1495</v>
      </c>
      <c r="C523" s="1" t="s">
        <v>13</v>
      </c>
      <c r="D523" s="1">
        <v>13.6753929</v>
      </c>
      <c r="E523" s="1">
        <v>121.2912463</v>
      </c>
      <c r="F523" s="1" t="s">
        <v>1496</v>
      </c>
      <c r="G523" s="3" t="str">
        <f>IFERROR(__xludf.DUMMYFUNCTION("IF(REGEXMATCH(F523, ""(?:.*,\s*)?([^,]+),\s*([^,]+),\s*Philippines.*""), TRIM(REGEXREPLACE(REGEXREPLACE(F523, ""(?:.*,\s*)?([^,]+),\s*([^,]+),\s*Philippines.*"", ""$1, $2""), ""\d+"", """")), """")"),"Lobo, Batangas")</f>
        <v>Lobo, Batangas</v>
      </c>
    </row>
    <row r="524">
      <c r="A524" s="1" t="s">
        <v>1497</v>
      </c>
      <c r="B524" s="1" t="s">
        <v>1498</v>
      </c>
      <c r="C524" s="1" t="s">
        <v>9</v>
      </c>
      <c r="D524" s="1">
        <v>14.0867993</v>
      </c>
      <c r="E524" s="1">
        <v>121.148054</v>
      </c>
      <c r="F524" s="1" t="s">
        <v>1499</v>
      </c>
      <c r="G524" s="3" t="str">
        <f>IFERROR(__xludf.DUMMYFUNCTION("IF(REGEXMATCH(F524, ""(?:.*,\s*)?([^,]+),\s*([^,]+),\s*Philippines.*""), TRIM(REGEXREPLACE(REGEXREPLACE(F524, ""(?:.*,\s*)?([^,]+),\s*([^,]+),\s*Philippines.*"", ""$1, $2""), ""\d+"", """")), """")"),"Tanauan City, Batangas")</f>
        <v>Tanauan City, Batangas</v>
      </c>
    </row>
    <row r="525">
      <c r="A525" s="1" t="s">
        <v>1500</v>
      </c>
      <c r="B525" s="1" t="s">
        <v>1501</v>
      </c>
      <c r="C525" s="1" t="s">
        <v>9</v>
      </c>
      <c r="D525" s="1">
        <v>14.1804106</v>
      </c>
      <c r="E525" s="1">
        <v>120.9322704</v>
      </c>
      <c r="F525" s="1" t="s">
        <v>1502</v>
      </c>
      <c r="G525" s="3" t="str">
        <f>IFERROR(__xludf.DUMMYFUNCTION("IF(REGEXMATCH(F525, ""(?:.*,\s*)?([^,]+),\s*([^,]+),\s*Philippines.*""), TRIM(REGEXREPLACE(REGEXREPLACE(F525, ""(?:.*,\s*)?([^,]+),\s*([^,]+),\s*Philippines.*"", ""$1, $2""), ""\d+"", """")), """")"),"Amadeo, Cavite")</f>
        <v>Amadeo, Cavite</v>
      </c>
    </row>
    <row r="526">
      <c r="A526" s="1" t="s">
        <v>1503</v>
      </c>
      <c r="B526" s="1" t="s">
        <v>1504</v>
      </c>
      <c r="C526" s="1" t="s">
        <v>13</v>
      </c>
      <c r="D526" s="1">
        <v>14.8559295</v>
      </c>
      <c r="E526" s="1">
        <v>120.8161538</v>
      </c>
      <c r="F526" s="1" t="s">
        <v>1505</v>
      </c>
      <c r="G526" s="3" t="str">
        <f>IFERROR(__xludf.DUMMYFUNCTION("IF(REGEXMATCH(F526, ""(?:.*,\s*)?([^,]+),\s*([^,]+),\s*Philippines.*""), TRIM(REGEXREPLACE(REGEXREPLACE(F526, ""(?:.*,\s*)?([^,]+),\s*([^,]+),\s*Philippines.*"", ""$1, $2""), ""\d+"", """")), """")"),"Malolos, Bulacan")</f>
        <v>Malolos, Bulacan</v>
      </c>
    </row>
    <row r="527">
      <c r="A527" s="1" t="s">
        <v>1506</v>
      </c>
      <c r="B527" s="1" t="s">
        <v>1507</v>
      </c>
      <c r="C527" s="1" t="s">
        <v>13</v>
      </c>
      <c r="D527" s="1">
        <v>14.699183</v>
      </c>
      <c r="E527" s="1">
        <v>122.3390936</v>
      </c>
      <c r="F527" s="1" t="s">
        <v>1508</v>
      </c>
      <c r="G527" s="3" t="str">
        <f>IFERROR(__xludf.DUMMYFUNCTION("IF(REGEXMATCH(F527, ""(?:.*,\s*)?([^,]+),\s*([^,]+),\s*Philippines.*""), TRIM(REGEXREPLACE(REGEXREPLACE(F527, ""(?:.*,\s*)?([^,]+),\s*([^,]+),\s*Philippines.*"", ""$1, $2""), ""\d+"", """")), """")"),"Jomalig, Quezon")</f>
        <v>Jomalig, Quezon</v>
      </c>
    </row>
    <row r="528">
      <c r="A528" s="1" t="s">
        <v>1509</v>
      </c>
      <c r="B528" s="1" t="s">
        <v>1510</v>
      </c>
      <c r="C528" s="1" t="s">
        <v>13</v>
      </c>
      <c r="D528" s="1">
        <v>13.876133</v>
      </c>
      <c r="E528" s="1">
        <v>122.233597</v>
      </c>
      <c r="F528" s="1" t="s">
        <v>1511</v>
      </c>
      <c r="G528" s="3" t="str">
        <f>IFERROR(__xludf.DUMMYFUNCTION("IF(REGEXMATCH(F528, ""(?:.*,\s*)?([^,]+),\s*([^,]+),\s*Philippines.*""), TRIM(REGEXREPLACE(REGEXREPLACE(F528, ""(?:.*,\s*)?([^,]+),\s*([^,]+),\s*Philippines.*"", ""$1, $2""), ""\d+"", """")), """")"),"Lopez, Quezon")</f>
        <v>Lopez, Quezon</v>
      </c>
    </row>
    <row r="529">
      <c r="A529" s="1" t="s">
        <v>1512</v>
      </c>
      <c r="B529" s="1" t="s">
        <v>1513</v>
      </c>
      <c r="C529" s="1" t="s">
        <v>13</v>
      </c>
      <c r="D529" s="1">
        <v>12.4011916</v>
      </c>
      <c r="E529" s="1">
        <v>121.1022942</v>
      </c>
      <c r="F529" s="1" t="s">
        <v>1213</v>
      </c>
      <c r="G529" s="3" t="str">
        <f>IFERROR(__xludf.DUMMYFUNCTION("IF(REGEXMATCH(F529, ""(?:.*,\s*)?([^,]+),\s*([^,]+),\s*Philippines.*""), TRIM(REGEXREPLACE(REGEXREPLACE(F529, ""(?:.*,\s*)?([^,]+),\s*([^,]+),\s*Philippines.*"", ""$1, $2""), ""\d+"", """")), """")"),"San Jose, Occidental Mindoro")</f>
        <v>San Jose, Occidental Mindoro</v>
      </c>
    </row>
    <row r="530">
      <c r="A530" s="1" t="s">
        <v>1514</v>
      </c>
      <c r="B530" s="1" t="s">
        <v>1515</v>
      </c>
      <c r="C530" s="1" t="s">
        <v>13</v>
      </c>
      <c r="D530" s="1">
        <v>14.3673155</v>
      </c>
      <c r="E530" s="1">
        <v>121.4008087</v>
      </c>
      <c r="F530" s="1" t="s">
        <v>1516</v>
      </c>
      <c r="G530" s="3" t="str">
        <f>IFERROR(__xludf.DUMMYFUNCTION("IF(REGEXMATCH(F530, ""(?:.*,\s*)?([^,]+),\s*([^,]+),\s*Philippines.*""), TRIM(REGEXREPLACE(REGEXREPLACE(F530, ""(?:.*,\s*)?([^,]+),\s*([^,]+),\s*Philippines.*"", ""$1, $2""), ""\d+"", """")), """")"),"Pakil, Laguna")</f>
        <v>Pakil, Laguna</v>
      </c>
    </row>
    <row r="531">
      <c r="A531" s="1" t="s">
        <v>1517</v>
      </c>
      <c r="B531" s="1" t="s">
        <v>1518</v>
      </c>
      <c r="C531" s="1" t="s">
        <v>13</v>
      </c>
      <c r="D531" s="1">
        <v>14.2046799</v>
      </c>
      <c r="E531" s="1">
        <v>121.096328</v>
      </c>
      <c r="F531" s="1" t="s">
        <v>1519</v>
      </c>
      <c r="G531" s="3" t="str">
        <f>IFERROR(__xludf.DUMMYFUNCTION("IF(REGEXMATCH(F531, ""(?:.*,\s*)?([^,]+),\s*([^,]+),\s*Philippines.*""), TRIM(REGEXREPLACE(REGEXREPLACE(F531, ""(?:.*,\s*)?([^,]+),\s*([^,]+),\s*Philippines.*"", ""$1, $2""), ""\d+"", """")), """")"),"Calamba, Laguna")</f>
        <v>Calamba, Laguna</v>
      </c>
    </row>
    <row r="532">
      <c r="A532" s="1" t="s">
        <v>1520</v>
      </c>
      <c r="B532" s="1" t="s">
        <v>1521</v>
      </c>
      <c r="C532" s="1" t="s">
        <v>9</v>
      </c>
      <c r="D532" s="1">
        <v>14.7444204</v>
      </c>
      <c r="E532" s="1">
        <v>121.144194</v>
      </c>
      <c r="F532" s="1" t="s">
        <v>1522</v>
      </c>
      <c r="G532" s="3" t="str">
        <f>IFERROR(__xludf.DUMMYFUNCTION("IF(REGEXMATCH(F532, ""(?:.*,\s*)?([^,]+),\s*([^,]+),\s*Philippines.*""), TRIM(REGEXREPLACE(REGEXREPLACE(F532, ""(?:.*,\s*)?([^,]+),\s*([^,]+),\s*Philippines.*"", ""$1, $2""), ""\d+"", """")), """")"),"Rodriguez, Rizal")</f>
        <v>Rodriguez, Rizal</v>
      </c>
    </row>
    <row r="533">
      <c r="A533" s="1" t="s">
        <v>1523</v>
      </c>
      <c r="B533" s="1" t="s">
        <v>799</v>
      </c>
      <c r="C533" s="1" t="s">
        <v>13</v>
      </c>
      <c r="D533" s="1">
        <v>13.9397435</v>
      </c>
      <c r="E533" s="1">
        <v>122.4495547</v>
      </c>
      <c r="F533" s="1" t="s">
        <v>1524</v>
      </c>
      <c r="G533" s="3" t="str">
        <f>IFERROR(__xludf.DUMMYFUNCTION("IF(REGEXMATCH(F533, ""(?:.*,\s*)?([^,]+),\s*([^,]+),\s*Philippines.*""), TRIM(REGEXREPLACE(REGEXREPLACE(F533, ""(?:.*,\s*)?([^,]+),\s*([^,]+),\s*Philippines.*"", ""$1, $2""), ""\d+"", """")), """")"),"Tagkawayan, Quezon")</f>
        <v>Tagkawayan, Quezon</v>
      </c>
    </row>
    <row r="534">
      <c r="A534" s="1" t="s">
        <v>1525</v>
      </c>
      <c r="B534" s="1" t="s">
        <v>1526</v>
      </c>
      <c r="C534" s="1" t="s">
        <v>13</v>
      </c>
      <c r="D534" s="1">
        <v>14.163976</v>
      </c>
      <c r="E534" s="1">
        <v>121.1196797</v>
      </c>
      <c r="F534" s="1" t="s">
        <v>1527</v>
      </c>
      <c r="G534" s="3" t="str">
        <f>IFERROR(__xludf.DUMMYFUNCTION("IF(REGEXMATCH(F534, ""(?:.*,\s*)?([^,]+),\s*([^,]+),\s*Philippines.*""), TRIM(REGEXREPLACE(REGEXREPLACE(F534, ""(?:.*,\s*)?([^,]+),\s*([^,]+),\s*Philippines.*"", ""$1, $2""), ""\d+"", """")), """")"),"Calamba, Laguna")</f>
        <v>Calamba, Laguna</v>
      </c>
    </row>
    <row r="535">
      <c r="A535" s="1" t="s">
        <v>1528</v>
      </c>
      <c r="B535" s="1" t="s">
        <v>1529</v>
      </c>
      <c r="C535" s="1" t="s">
        <v>13</v>
      </c>
      <c r="D535" s="1">
        <v>14.0822505</v>
      </c>
      <c r="E535" s="1">
        <v>120.8096918</v>
      </c>
      <c r="F535" s="1" t="s">
        <v>1530</v>
      </c>
      <c r="G535" s="3" t="str">
        <f>IFERROR(__xludf.DUMMYFUNCTION("IF(REGEXMATCH(F535, ""(?:.*,\s*)?([^,]+),\s*([^,]+),\s*Philippines.*""), TRIM(REGEXREPLACE(REGEXREPLACE(F535, ""(?:.*,\s*)?([^,]+),\s*([^,]+),\s*Philippines.*"", ""$1, $2""), ""\d+"", """")), """")"),"Nasugbu, Batangas")</f>
        <v>Nasugbu, Batangas</v>
      </c>
    </row>
    <row r="536">
      <c r="A536" s="1" t="s">
        <v>1531</v>
      </c>
      <c r="B536" s="1" t="s">
        <v>1532</v>
      </c>
      <c r="C536" s="1" t="s">
        <v>13</v>
      </c>
      <c r="D536" s="1">
        <v>14.6498869</v>
      </c>
      <c r="E536" s="1">
        <v>121.245723</v>
      </c>
      <c r="F536" s="1" t="s">
        <v>1533</v>
      </c>
      <c r="G536" s="3" t="str">
        <f>IFERROR(__xludf.DUMMYFUNCTION("IF(REGEXMATCH(F536, ""(?:.*,\s*)?([^,]+),\s*([^,]+),\s*Philippines.*""), TRIM(REGEXREPLACE(REGEXREPLACE(F536, ""(?:.*,\s*)?([^,]+),\s*([^,]+),\s*Philippines.*"", ""$1, $2""), ""\d+"", """")), """")"),"Antipolo, Rizal")</f>
        <v>Antipolo, Rizal</v>
      </c>
    </row>
    <row r="537">
      <c r="A537" s="1" t="s">
        <v>1534</v>
      </c>
      <c r="B537" s="1">
        <v>15.0</v>
      </c>
      <c r="C537" s="1" t="s">
        <v>13</v>
      </c>
      <c r="D537" s="1">
        <v>14.107958</v>
      </c>
      <c r="E537" s="1">
        <v>120.828087</v>
      </c>
      <c r="F537" s="1" t="s">
        <v>1535</v>
      </c>
      <c r="G537" s="3" t="str">
        <f>IFERROR(__xludf.DUMMYFUNCTION("IF(REGEXMATCH(F537, ""(?:.*,\s*)?([^,]+),\s*([^,]+),\s*Philippines.*""), TRIM(REGEXREPLACE(REGEXREPLACE(F537, ""(?:.*,\s*)?([^,]+),\s*([^,]+),\s*Philippines.*"", ""$1, $2""), ""\d+"", """")), """")"),"Alfonso, Cavite")</f>
        <v>Alfonso, Cavite</v>
      </c>
    </row>
    <row r="538">
      <c r="A538" s="1" t="s">
        <v>1536</v>
      </c>
      <c r="B538" s="1" t="s">
        <v>1537</v>
      </c>
      <c r="C538" s="1" t="s">
        <v>9</v>
      </c>
      <c r="D538" s="1">
        <v>14.0634451</v>
      </c>
      <c r="E538" s="1">
        <v>121.2442651</v>
      </c>
      <c r="F538" s="1" t="s">
        <v>1538</v>
      </c>
      <c r="G538" s="3" t="str">
        <f>IFERROR(__xludf.DUMMYFUNCTION("IF(REGEXMATCH(F538, ""(?:.*,\s*)?([^,]+),\s*([^,]+),\s*Philippines.*""), TRIM(REGEXREPLACE(REGEXREPLACE(F538, ""(?:.*,\s*)?([^,]+),\s*([^,]+),\s*Philippines.*"", ""$1, $2""), ""\d+"", """")), """")"),"Alaminos, Laguna")</f>
        <v>Alaminos, Laguna</v>
      </c>
    </row>
    <row r="539">
      <c r="A539" s="1" t="s">
        <v>1539</v>
      </c>
      <c r="B539" s="1" t="s">
        <v>1540</v>
      </c>
      <c r="C539" s="1" t="s">
        <v>9</v>
      </c>
      <c r="D539" s="1">
        <v>14.0634451</v>
      </c>
      <c r="E539" s="1">
        <v>121.2442651</v>
      </c>
      <c r="F539" s="1" t="s">
        <v>1541</v>
      </c>
      <c r="G539" s="3" t="str">
        <f>IFERROR(__xludf.DUMMYFUNCTION("IF(REGEXMATCH(F539, ""(?:.*,\s*)?([^,]+),\s*([^,]+),\s*Philippines.*""), TRIM(REGEXREPLACE(REGEXREPLACE(F539, ""(?:.*,\s*)?([^,]+),\s*([^,]+),\s*Philippines.*"", ""$1, $2""), ""\d+"", """")), """")"),"Alaminos, Laguna")</f>
        <v>Alaminos, Laguna</v>
      </c>
    </row>
    <row r="540">
      <c r="A540" s="1" t="s">
        <v>1542</v>
      </c>
      <c r="B540" s="1" t="s">
        <v>1543</v>
      </c>
      <c r="C540" s="1" t="s">
        <v>13</v>
      </c>
      <c r="D540" s="1">
        <v>13.9537501</v>
      </c>
      <c r="E540" s="1">
        <v>122.4750292</v>
      </c>
      <c r="F540" s="1" t="s">
        <v>1544</v>
      </c>
      <c r="G540" s="3" t="str">
        <f>IFERROR(__xludf.DUMMYFUNCTION("IF(REGEXMATCH(F540, ""(?:.*,\s*)?([^,]+),\s*([^,]+),\s*Philippines.*""), TRIM(REGEXREPLACE(REGEXREPLACE(F540, ""(?:.*,\s*)?([^,]+),\s*([^,]+),\s*Philippines.*"", ""$1, $2""), ""\d+"", """")), """")"),"Tagkawayan, Quezon")</f>
        <v>Tagkawayan, Quezon</v>
      </c>
    </row>
    <row r="541">
      <c r="A541" s="1" t="s">
        <v>1545</v>
      </c>
      <c r="B541" s="1" t="s">
        <v>1546</v>
      </c>
      <c r="C541" s="1" t="s">
        <v>13</v>
      </c>
      <c r="D541" s="1">
        <v>14.1846865</v>
      </c>
      <c r="E541" s="1">
        <v>121.5064856</v>
      </c>
      <c r="F541" s="1" t="s">
        <v>1547</v>
      </c>
      <c r="G541" s="3" t="str">
        <f>IFERROR(__xludf.DUMMYFUNCTION("IF(REGEXMATCH(F541, ""(?:.*,\s*)?([^,]+),\s*([^,]+),\s*Philippines.*""), TRIM(REGEXREPLACE(REGEXREPLACE(F541, ""(?:.*,\s*)?([^,]+),\s*([^,]+),\s*Philippines.*"", ""$1, $2""), ""\d+"", """")), """")"),"Luisiana, Laguna")</f>
        <v>Luisiana, Laguna</v>
      </c>
    </row>
    <row r="542">
      <c r="A542" s="1" t="s">
        <v>1548</v>
      </c>
      <c r="B542" s="1" t="s">
        <v>1549</v>
      </c>
      <c r="C542" s="1" t="s">
        <v>9</v>
      </c>
      <c r="D542" s="1">
        <v>14.3265075</v>
      </c>
      <c r="E542" s="1">
        <v>121.0777893</v>
      </c>
      <c r="F542" s="1" t="s">
        <v>1550</v>
      </c>
      <c r="G542" s="3" t="str">
        <f>IFERROR(__xludf.DUMMYFUNCTION("IF(REGEXMATCH(F542, ""(?:.*,\s*)?([^,]+),\s*([^,]+),\s*Philippines.*""), TRIM(REGEXREPLACE(REGEXREPLACE(F542, ""(?:.*,\s*)?([^,]+),\s*([^,]+),\s*Philippines.*"", ""$1, $2""), ""\d+"", """")), """")"),"Biñan, Laguna")</f>
        <v>Biñan, Laguna</v>
      </c>
    </row>
    <row r="543">
      <c r="A543" s="1" t="s">
        <v>1551</v>
      </c>
      <c r="B543" s="1" t="s">
        <v>1552</v>
      </c>
      <c r="C543" s="1" t="s">
        <v>9</v>
      </c>
      <c r="D543" s="1">
        <v>14.3072272</v>
      </c>
      <c r="E543" s="1">
        <v>121.1096112</v>
      </c>
      <c r="F543" s="1" t="s">
        <v>1553</v>
      </c>
      <c r="G543" s="3" t="str">
        <f>IFERROR(__xludf.DUMMYFUNCTION("IF(REGEXMATCH(F543, ""(?:.*,\s*)?([^,]+),\s*([^,]+),\s*Philippines.*""), TRIM(REGEXREPLACE(REGEXREPLACE(F543, ""(?:.*,\s*)?([^,]+),\s*([^,]+),\s*Philippines.*"", ""$1, $2""), ""\d+"", """")), """")"),"City of Santa Rosa, Laguna")</f>
        <v>City of Santa Rosa, Laguna</v>
      </c>
    </row>
    <row r="544">
      <c r="A544" s="1" t="s">
        <v>1554</v>
      </c>
      <c r="B544" s="1" t="s">
        <v>1555</v>
      </c>
      <c r="C544" s="1" t="s">
        <v>13</v>
      </c>
      <c r="D544" s="1">
        <v>14.0825411</v>
      </c>
      <c r="E544" s="1">
        <v>122.2256803</v>
      </c>
      <c r="F544" s="1" t="s">
        <v>1556</v>
      </c>
      <c r="G544" s="3" t="str">
        <f>IFERROR(__xludf.DUMMYFUNCTION("IF(REGEXMATCH(F544, ""(?:.*,\s*)?([^,]+),\s*([^,]+),\s*Philippines.*""), TRIM(REGEXREPLACE(REGEXREPLACE(F544, ""(?:.*,\s*)?([^,]+),\s*([^,]+),\s*Philippines.*"", ""$1, $2""), ""\d+"", """")), """")"),"Calauag, Quezon")</f>
        <v>Calauag, Quezon</v>
      </c>
    </row>
    <row r="545">
      <c r="A545" s="1" t="s">
        <v>1557</v>
      </c>
      <c r="B545" s="1" t="s">
        <v>1558</v>
      </c>
      <c r="C545" s="1" t="s">
        <v>9</v>
      </c>
      <c r="D545" s="1">
        <v>14.0724952</v>
      </c>
      <c r="E545" s="1">
        <v>121.3261566</v>
      </c>
      <c r="F545" s="1" t="s">
        <v>1559</v>
      </c>
      <c r="G545" s="3" t="str">
        <f>IFERROR(__xludf.DUMMYFUNCTION("IF(REGEXMATCH(F545, ""(?:.*,\s*)?([^,]+),\s*([^,]+),\s*Philippines.*""), TRIM(REGEXREPLACE(REGEXREPLACE(F545, ""(?:.*,\s*)?([^,]+),\s*([^,]+),\s*Philippines.*"", ""$1, $2""), ""\d+"", """")), """")"),"San Pablo, Laguna")</f>
        <v>San Pablo, Laguna</v>
      </c>
    </row>
    <row r="546">
      <c r="A546" s="1" t="s">
        <v>1560</v>
      </c>
      <c r="B546" s="1" t="s">
        <v>1561</v>
      </c>
      <c r="C546" s="1" t="s">
        <v>9</v>
      </c>
      <c r="D546" s="1">
        <v>14.210664</v>
      </c>
      <c r="E546" s="1">
        <v>121.162031</v>
      </c>
      <c r="F546" s="1" t="s">
        <v>1562</v>
      </c>
      <c r="G546" s="3" t="str">
        <f>IFERROR(__xludf.DUMMYFUNCTION("IF(REGEXMATCH(F546, ""(?:.*,\s*)?([^,]+),\s*([^,]+),\s*Philippines.*""), TRIM(REGEXREPLACE(REGEXREPLACE(F546, ""(?:.*,\s*)?([^,]+),\s*([^,]+),\s*Philippines.*"", ""$1, $2""), ""\d+"", """")), """")"),"Calamba, Laguna")</f>
        <v>Calamba, Laguna</v>
      </c>
    </row>
    <row r="547">
      <c r="A547" s="1" t="s">
        <v>1563</v>
      </c>
      <c r="B547" s="1" t="s">
        <v>1564</v>
      </c>
      <c r="C547" s="1" t="s">
        <v>13</v>
      </c>
      <c r="D547" s="1">
        <v>14.3132123</v>
      </c>
      <c r="E547" s="1">
        <v>121.1169343</v>
      </c>
      <c r="F547" s="1" t="s">
        <v>1565</v>
      </c>
      <c r="G547" s="3" t="str">
        <f>IFERROR(__xludf.DUMMYFUNCTION("IF(REGEXMATCH(F547, ""(?:.*,\s*)?([^,]+),\s*([^,]+),\s*Philippines.*""), TRIM(REGEXREPLACE(REGEXREPLACE(F547, ""(?:.*,\s*)?([^,]+),\s*([^,]+),\s*Philippines.*"", ""$1, $2""), ""\d+"", """")), """")"),"City of Santa Rosa, Laguna")</f>
        <v>City of Santa Rosa, Laguna</v>
      </c>
    </row>
    <row r="548">
      <c r="A548" s="1" t="s">
        <v>1566</v>
      </c>
      <c r="B548" s="1" t="s">
        <v>1567</v>
      </c>
      <c r="C548" s="1" t="s">
        <v>13</v>
      </c>
      <c r="D548" s="1">
        <v>14.4009668</v>
      </c>
      <c r="E548" s="1">
        <v>121.4770388</v>
      </c>
      <c r="F548" s="1" t="s">
        <v>431</v>
      </c>
      <c r="G548" s="3" t="str">
        <f>IFERROR(__xludf.DUMMYFUNCTION("IF(REGEXMATCH(F548, ""(?:.*,\s*)?([^,]+),\s*([^,]+),\s*Philippines.*""), TRIM(REGEXREPLACE(REGEXREPLACE(F548, ""(?:.*,\s*)?([^,]+),\s*([^,]+),\s*Philippines.*"", ""$1, $2""), ""\d+"", """")), """")"),"Pangil, Laguna")</f>
        <v>Pangil, Laguna</v>
      </c>
    </row>
    <row r="549">
      <c r="A549" s="1" t="s">
        <v>1568</v>
      </c>
      <c r="B549" s="1" t="s">
        <v>1569</v>
      </c>
      <c r="C549" s="1" t="s">
        <v>9</v>
      </c>
      <c r="D549" s="1">
        <v>14.3668946</v>
      </c>
      <c r="E549" s="1">
        <v>121.0531612</v>
      </c>
      <c r="F549" s="1" t="s">
        <v>1570</v>
      </c>
      <c r="G549" s="3" t="str">
        <f>IFERROR(__xludf.DUMMYFUNCTION("IF(REGEXMATCH(F549, ""(?:.*,\s*)?([^,]+),\s*([^,]+),\s*Philippines.*""), TRIM(REGEXREPLACE(REGEXREPLACE(F549, ""(?:.*,\s*)?([^,]+),\s*([^,]+),\s*Philippines.*"", ""$1, $2""), ""\d+"", """")), """")"),"San Pedro, Laguna")</f>
        <v>San Pedro, Laguna</v>
      </c>
    </row>
    <row r="550">
      <c r="A550" s="1" t="s">
        <v>1571</v>
      </c>
      <c r="B550" s="1" t="s">
        <v>1572</v>
      </c>
      <c r="C550" s="1" t="s">
        <v>9</v>
      </c>
      <c r="D550" s="1">
        <v>14.4302348</v>
      </c>
      <c r="E550" s="1">
        <v>121.4489124</v>
      </c>
      <c r="F550" s="1" t="s">
        <v>1573</v>
      </c>
      <c r="G550" s="3" t="str">
        <f>IFERROR(__xludf.DUMMYFUNCTION("IF(REGEXMATCH(F550, ""(?:.*,\s*)?([^,]+),\s*([^,]+),\s*Philippines.*""), TRIM(REGEXREPLACE(REGEXREPLACE(F550, ""(?:.*,\s*)?([^,]+),\s*([^,]+),\s*Philippines.*"", ""$1, $2""), ""\d+"", """")), """")"),"Siniloan, Laguna")</f>
        <v>Siniloan, Laguna</v>
      </c>
    </row>
    <row r="551">
      <c r="A551" s="1" t="s">
        <v>1574</v>
      </c>
      <c r="B551" s="1" t="s">
        <v>1575</v>
      </c>
      <c r="C551" s="1" t="s">
        <v>9</v>
      </c>
      <c r="D551" s="1">
        <v>14.2913782</v>
      </c>
      <c r="E551" s="1">
        <v>121.0965092</v>
      </c>
      <c r="F551" s="1" t="s">
        <v>1576</v>
      </c>
      <c r="G551" s="3" t="str">
        <f>IFERROR(__xludf.DUMMYFUNCTION("IF(REGEXMATCH(F551, ""(?:.*,\s*)?([^,]+),\s*([^,]+),\s*Philippines.*""), TRIM(REGEXREPLACE(REGEXREPLACE(F551, ""(?:.*,\s*)?([^,]+),\s*([^,]+),\s*Philippines.*"", ""$1, $2""), ""\d+"", """")), """")"),"City of Santa Rosa, Laguna")</f>
        <v>City of Santa Rosa, Laguna</v>
      </c>
    </row>
    <row r="552">
      <c r="A552" s="1" t="s">
        <v>1577</v>
      </c>
      <c r="B552" s="1" t="s">
        <v>1572</v>
      </c>
      <c r="C552" s="1" t="s">
        <v>9</v>
      </c>
      <c r="D552" s="1">
        <v>14.4302348</v>
      </c>
      <c r="E552" s="1">
        <v>121.4489124</v>
      </c>
      <c r="F552" s="1" t="s">
        <v>1573</v>
      </c>
      <c r="G552" s="3" t="str">
        <f>IFERROR(__xludf.DUMMYFUNCTION("IF(REGEXMATCH(F552, ""(?:.*,\s*)?([^,]+),\s*([^,]+),\s*Philippines.*""), TRIM(REGEXREPLACE(REGEXREPLACE(F552, ""(?:.*,\s*)?([^,]+),\s*([^,]+),\s*Philippines.*"", ""$1, $2""), ""\d+"", """")), """")"),"Siniloan, Laguna")</f>
        <v>Siniloan, Laguna</v>
      </c>
    </row>
    <row r="553">
      <c r="A553" s="1" t="s">
        <v>1578</v>
      </c>
      <c r="B553" s="1" t="s">
        <v>1579</v>
      </c>
      <c r="C553" s="1" t="s">
        <v>9</v>
      </c>
      <c r="D553" s="1">
        <v>14.3502332</v>
      </c>
      <c r="E553" s="1">
        <v>121.064161</v>
      </c>
      <c r="F553" s="1" t="s">
        <v>1580</v>
      </c>
      <c r="G553" s="3" t="str">
        <f>IFERROR(__xludf.DUMMYFUNCTION("IF(REGEXMATCH(F553, ""(?:.*,\s*)?([^,]+),\s*([^,]+),\s*Philippines.*""), TRIM(REGEXREPLACE(REGEXREPLACE(F553, ""(?:.*,\s*)?([^,]+),\s*([^,]+),\s*Philippines.*"", ""$1, $2""), ""\d+"", """")), """")"),"San Pedro, Laguna")</f>
        <v>San Pedro, Laguna</v>
      </c>
    </row>
    <row r="554">
      <c r="A554" s="1" t="s">
        <v>1581</v>
      </c>
      <c r="B554" s="1" t="s">
        <v>1582</v>
      </c>
      <c r="C554" s="1" t="s">
        <v>13</v>
      </c>
      <c r="D554" s="1">
        <v>14.1846322</v>
      </c>
      <c r="E554" s="1">
        <v>121.2755118</v>
      </c>
      <c r="F554" s="1" t="s">
        <v>1583</v>
      </c>
      <c r="G554" s="3" t="str">
        <f>IFERROR(__xludf.DUMMYFUNCTION("IF(REGEXMATCH(F554, ""(?:.*,\s*)?([^,]+),\s*([^,]+),\s*Philippines.*""), TRIM(REGEXREPLACE(REGEXREPLACE(F554, ""(?:.*,\s*)?([^,]+),\s*([^,]+),\s*Philippines.*"", ""$1, $2""), ""\d+"", """")), """")"),"Bay, Laguna")</f>
        <v>Bay, Laguna</v>
      </c>
    </row>
    <row r="555">
      <c r="A555" s="1" t="s">
        <v>1584</v>
      </c>
      <c r="B555" s="1" t="s">
        <v>1585</v>
      </c>
      <c r="C555" s="1" t="s">
        <v>9</v>
      </c>
      <c r="D555" s="1">
        <v>14.2774484</v>
      </c>
      <c r="E555" s="1">
        <v>121.4192258</v>
      </c>
      <c r="F555" s="1" t="s">
        <v>1586</v>
      </c>
      <c r="G555" s="3" t="str">
        <f>IFERROR(__xludf.DUMMYFUNCTION("IF(REGEXMATCH(F555, ""(?:.*,\s*)?([^,]+),\s*([^,]+),\s*Philippines.*""), TRIM(REGEXREPLACE(REGEXREPLACE(F555, ""(?:.*,\s*)?([^,]+),\s*([^,]+),\s*Philippines.*"", ""$1, $2""), ""\d+"", """")), """")"),"Santa Cruz, Laguna")</f>
        <v>Santa Cruz, Laguna</v>
      </c>
    </row>
    <row r="556">
      <c r="A556" s="1" t="s">
        <v>1587</v>
      </c>
      <c r="B556" s="1" t="s">
        <v>1588</v>
      </c>
      <c r="C556" s="1" t="s">
        <v>9</v>
      </c>
      <c r="D556" s="1">
        <v>14.2623126</v>
      </c>
      <c r="E556" s="1">
        <v>121.397633</v>
      </c>
      <c r="F556" s="1" t="s">
        <v>1589</v>
      </c>
      <c r="G556" s="3" t="str">
        <f>IFERROR(__xludf.DUMMYFUNCTION("IF(REGEXMATCH(F556, ""(?:.*,\s*)?([^,]+),\s*([^,]+),\s*Philippines.*""), TRIM(REGEXREPLACE(REGEXREPLACE(F556, ""(?:.*,\s*)?([^,]+),\s*([^,]+),\s*Philippines.*"", ""$1, $2""), ""\d+"", """")), """")"),"Santa Cruz, Laguna")</f>
        <v>Santa Cruz, Laguna</v>
      </c>
    </row>
    <row r="557">
      <c r="A557" s="1" t="s">
        <v>1590</v>
      </c>
      <c r="B557" s="1" t="s">
        <v>1591</v>
      </c>
      <c r="C557" s="1" t="s">
        <v>13</v>
      </c>
      <c r="D557" s="1">
        <v>14.083093</v>
      </c>
      <c r="E557" s="1">
        <v>121.312231</v>
      </c>
      <c r="F557" s="1" t="s">
        <v>1592</v>
      </c>
      <c r="G557" s="3" t="str">
        <f>IFERROR(__xludf.DUMMYFUNCTION("IF(REGEXMATCH(F557, ""(?:.*,\s*)?([^,]+),\s*([^,]+),\s*Philippines.*""), TRIM(REGEXREPLACE(REGEXREPLACE(F557, ""(?:.*,\s*)?([^,]+),\s*([^,]+),\s*Philippines.*"", ""$1, $2""), ""\d+"", """")), """")"),"San Pablo City, Laguna")</f>
        <v>San Pablo City, Laguna</v>
      </c>
    </row>
    <row r="558">
      <c r="A558" s="1" t="s">
        <v>1593</v>
      </c>
      <c r="B558" s="1" t="s">
        <v>1594</v>
      </c>
      <c r="C558" s="1" t="s">
        <v>766</v>
      </c>
      <c r="D558" s="1">
        <v>14.2623126</v>
      </c>
      <c r="E558" s="1">
        <v>121.397633</v>
      </c>
      <c r="F558" s="1" t="s">
        <v>1589</v>
      </c>
      <c r="G558" s="3" t="str">
        <f>IFERROR(__xludf.DUMMYFUNCTION("IF(REGEXMATCH(F558, ""(?:.*,\s*)?([^,]+),\s*([^,]+),\s*Philippines.*""), TRIM(REGEXREPLACE(REGEXREPLACE(F558, ""(?:.*,\s*)?([^,]+),\s*([^,]+),\s*Philippines.*"", ""$1, $2""), ""\d+"", """")), """")"),"Santa Cruz, Laguna")</f>
        <v>Santa Cruz, Laguna</v>
      </c>
    </row>
    <row r="559">
      <c r="A559" s="1" t="s">
        <v>1595</v>
      </c>
      <c r="B559" s="1" t="s">
        <v>1596</v>
      </c>
      <c r="C559" s="1" t="s">
        <v>9</v>
      </c>
      <c r="D559" s="1">
        <v>14.1867953</v>
      </c>
      <c r="E559" s="1">
        <v>121.2318546</v>
      </c>
      <c r="F559" s="1" t="s">
        <v>1597</v>
      </c>
      <c r="G559" s="3" t="str">
        <f>IFERROR(__xludf.DUMMYFUNCTION("IF(REGEXMATCH(F559, ""(?:.*,\s*)?([^,]+),\s*([^,]+),\s*Philippines.*""), TRIM(REGEXREPLACE(REGEXREPLACE(F559, ""(?:.*,\s*)?([^,]+),\s*([^,]+),\s*Philippines.*"", ""$1, $2""), ""\d+"", """")), """")"),"Los Baños, Laguna")</f>
        <v>Los Baños, Laguna</v>
      </c>
    </row>
    <row r="560">
      <c r="A560" s="1" t="s">
        <v>1598</v>
      </c>
      <c r="B560" s="1" t="s">
        <v>1599</v>
      </c>
      <c r="C560" s="1" t="s">
        <v>9</v>
      </c>
      <c r="D560" s="1">
        <v>14.1145404</v>
      </c>
      <c r="E560" s="1">
        <v>121.4163769</v>
      </c>
      <c r="F560" s="1" t="s">
        <v>1600</v>
      </c>
      <c r="G560" s="3" t="str">
        <f>IFERROR(__xludf.DUMMYFUNCTION("IF(REGEXMATCH(F560, ""(?:.*,\s*)?([^,]+),\s*([^,]+),\s*Philippines.*""), TRIM(REGEXREPLACE(REGEXREPLACE(F560, ""(?:.*,\s*)?([^,]+),\s*([^,]+),\s*Philippines.*"", ""$1, $2""), ""\d+"", """")), """")"),"Nagcarlan, Laguna")</f>
        <v>Nagcarlan, Laguna</v>
      </c>
    </row>
    <row r="561">
      <c r="A561" s="1" t="s">
        <v>1601</v>
      </c>
      <c r="B561" s="1" t="s">
        <v>1602</v>
      </c>
      <c r="C561" s="1" t="s">
        <v>766</v>
      </c>
      <c r="D561" s="1">
        <v>14.083093</v>
      </c>
      <c r="E561" s="1">
        <v>121.312231</v>
      </c>
      <c r="F561" s="1" t="s">
        <v>1592</v>
      </c>
      <c r="G561" s="3" t="str">
        <f>IFERROR(__xludf.DUMMYFUNCTION("IF(REGEXMATCH(F561, ""(?:.*,\s*)?([^,]+),\s*([^,]+),\s*Philippines.*""), TRIM(REGEXREPLACE(REGEXREPLACE(F561, ""(?:.*,\s*)?([^,]+),\s*([^,]+),\s*Philippines.*"", ""$1, $2""), ""\d+"", """")), """")"),"San Pablo City, Laguna")</f>
        <v>San Pablo City, Laguna</v>
      </c>
    </row>
    <row r="562">
      <c r="A562" s="1" t="s">
        <v>1603</v>
      </c>
      <c r="B562" s="1" t="s">
        <v>1604</v>
      </c>
      <c r="C562" s="1" t="s">
        <v>9</v>
      </c>
      <c r="D562" s="1">
        <v>14.4134583</v>
      </c>
      <c r="E562" s="1">
        <v>121.4485178</v>
      </c>
      <c r="F562" s="1" t="s">
        <v>1605</v>
      </c>
      <c r="G562" s="3" t="str">
        <f>IFERROR(__xludf.DUMMYFUNCTION("IF(REGEXMATCH(F562, ""(?:.*,\s*)?([^,]+),\s*([^,]+),\s*Philippines.*""), TRIM(REGEXREPLACE(REGEXREPLACE(F562, ""(?:.*,\s*)?([^,]+),\s*([^,]+),\s*Philippines.*"", ""$1, $2""), ""\d+"", """")), """")"),"Siniloan, Laguna")</f>
        <v>Siniloan, Laguna</v>
      </c>
    </row>
    <row r="563">
      <c r="A563" s="1" t="s">
        <v>1606</v>
      </c>
      <c r="B563" s="1" t="s">
        <v>1607</v>
      </c>
      <c r="C563" s="1" t="s">
        <v>13</v>
      </c>
      <c r="D563" s="1">
        <v>14.4134583</v>
      </c>
      <c r="E563" s="1">
        <v>121.4485178</v>
      </c>
      <c r="F563" s="1" t="s">
        <v>1605</v>
      </c>
      <c r="G563" s="3" t="str">
        <f>IFERROR(__xludf.DUMMYFUNCTION("IF(REGEXMATCH(F563, ""(?:.*,\s*)?([^,]+),\s*([^,]+),\s*Philippines.*""), TRIM(REGEXREPLACE(REGEXREPLACE(F563, ""(?:.*,\s*)?([^,]+),\s*([^,]+),\s*Philippines.*"", ""$1, $2""), ""\d+"", """")), """")"),"Siniloan, Laguna")</f>
        <v>Siniloan, Laguna</v>
      </c>
    </row>
    <row r="564">
      <c r="A564" s="1" t="s">
        <v>1608</v>
      </c>
      <c r="B564" s="1" t="s">
        <v>1609</v>
      </c>
      <c r="C564" s="1" t="s">
        <v>9</v>
      </c>
      <c r="D564" s="1">
        <v>14.2551056</v>
      </c>
      <c r="E564" s="1">
        <v>121.4051472</v>
      </c>
      <c r="F564" s="1" t="s">
        <v>1610</v>
      </c>
      <c r="G564" s="3" t="str">
        <f>IFERROR(__xludf.DUMMYFUNCTION("IF(REGEXMATCH(F564, ""(?:.*,\s*)?([^,]+),\s*([^,]+),\s*Philippines.*""), TRIM(REGEXREPLACE(REGEXREPLACE(F564, ""(?:.*,\s*)?([^,]+),\s*([^,]+),\s*Philippines.*"", ""$1, $2""), ""\d+"", """")), """")"),"Santa Cruz, Laguna")</f>
        <v>Santa Cruz, Laguna</v>
      </c>
    </row>
    <row r="565">
      <c r="A565" s="1" t="s">
        <v>1611</v>
      </c>
      <c r="B565" s="1" t="s">
        <v>1612</v>
      </c>
      <c r="C565" s="1" t="s">
        <v>13</v>
      </c>
      <c r="D565" s="1">
        <v>14.61931</v>
      </c>
      <c r="E565" s="1">
        <v>121.3889694</v>
      </c>
      <c r="F565" s="1" t="s">
        <v>1613</v>
      </c>
      <c r="G565" s="3" t="str">
        <f>IFERROR(__xludf.DUMMYFUNCTION("IF(REGEXMATCH(F565, ""(?:.*,\s*)?([^,]+),\s*([^,]+),\s*Philippines.*""), TRIM(REGEXREPLACE(REGEXREPLACE(F565, ""(?:.*,\s*)?([^,]+),\s*([^,]+),\s*Philippines.*"", ""$1, $2""), ""\d+"", """")), """")"),"Tanay, Rizal")</f>
        <v>Tanay, Rizal</v>
      </c>
    </row>
    <row r="566">
      <c r="A566" s="1" t="s">
        <v>1614</v>
      </c>
      <c r="B566" s="1" t="s">
        <v>1615</v>
      </c>
      <c r="C566" s="1" t="s">
        <v>13</v>
      </c>
      <c r="D566" s="1">
        <v>13.681922</v>
      </c>
      <c r="E566" s="1">
        <v>121.4156167</v>
      </c>
      <c r="F566" s="1" t="s">
        <v>1616</v>
      </c>
      <c r="G566" s="3" t="str">
        <f>IFERROR(__xludf.DUMMYFUNCTION("IF(REGEXMATCH(F566, ""(?:.*,\s*)?([^,]+),\s*([^,]+),\s*Philippines.*""), TRIM(REGEXREPLACE(REGEXREPLACE(F566, ""(?:.*,\s*)?([^,]+),\s*([^,]+),\s*Philippines.*"", ""$1, $2""), ""\d+"", """")), """")"),"San Juan, Batangas")</f>
        <v>San Juan, Batangas</v>
      </c>
    </row>
    <row r="567">
      <c r="A567" s="1" t="s">
        <v>1617</v>
      </c>
      <c r="B567" s="1" t="s">
        <v>1618</v>
      </c>
      <c r="C567" s="1" t="s">
        <v>13</v>
      </c>
      <c r="D567" s="1">
        <v>14.3382365</v>
      </c>
      <c r="E567" s="1">
        <v>121.0806243</v>
      </c>
      <c r="F567" s="1" t="s">
        <v>1619</v>
      </c>
      <c r="G567" s="3" t="str">
        <f>IFERROR(__xludf.DUMMYFUNCTION("IF(REGEXMATCH(F567, ""(?:.*,\s*)?([^,]+),\s*([^,]+),\s*Philippines.*""), TRIM(REGEXREPLACE(REGEXREPLACE(F567, ""(?:.*,\s*)?([^,]+),\s*([^,]+),\s*Philippines.*"", ""$1, $2""), ""\d+"", """")), """")"),"Biñan, Laguna")</f>
        <v>Biñan, Laguna</v>
      </c>
    </row>
    <row r="568">
      <c r="A568" s="1" t="s">
        <v>1620</v>
      </c>
      <c r="C568" s="1" t="s">
        <v>13</v>
      </c>
      <c r="D568" s="1">
        <v>13.8671644</v>
      </c>
      <c r="E568" s="1">
        <v>122.3317138</v>
      </c>
      <c r="F568" s="1" t="s">
        <v>1621</v>
      </c>
      <c r="G568" s="3" t="str">
        <f>IFERROR(__xludf.DUMMYFUNCTION("IF(REGEXMATCH(F568, ""(?:.*,\s*)?([^,]+),\s*([^,]+),\s*Philippines.*""), TRIM(REGEXREPLACE(REGEXREPLACE(F568, ""(?:.*,\s*)?([^,]+),\s*([^,]+),\s*Philippines.*"", ""$1, $2""), ""\d+"", """")), """")"),"Lopez, Quezon")</f>
        <v>Lopez, Quezon</v>
      </c>
    </row>
    <row r="569">
      <c r="A569" s="1" t="s">
        <v>1622</v>
      </c>
      <c r="B569" s="1" t="s">
        <v>1623</v>
      </c>
      <c r="C569" s="1" t="s">
        <v>13</v>
      </c>
      <c r="D569" s="1">
        <v>13.9771603</v>
      </c>
      <c r="E569" s="1">
        <v>121.327866</v>
      </c>
      <c r="F569" s="1" t="s">
        <v>1624</v>
      </c>
      <c r="G569" s="3" t="str">
        <f>IFERROR(__xludf.DUMMYFUNCTION("IF(REGEXMATCH(F569, ""(?:.*,\s*)?([^,]+),\s*([^,]+),\s*Philippines.*""), TRIM(REGEXREPLACE(REGEXREPLACE(F569, ""(?:.*,\s*)?([^,]+),\s*([^,]+),\s*Philippines.*"", ""$1, $2""), ""\d+"", """")), """")"),"Tiaong, Quezon")</f>
        <v>Tiaong, Quezon</v>
      </c>
    </row>
    <row r="570">
      <c r="A570" s="1" t="s">
        <v>1625</v>
      </c>
      <c r="B570" s="1" t="s">
        <v>1626</v>
      </c>
      <c r="C570" s="1" t="s">
        <v>13</v>
      </c>
      <c r="D570" s="1">
        <v>13.9205904</v>
      </c>
      <c r="E570" s="1">
        <v>122.0988877</v>
      </c>
      <c r="F570" s="1" t="s">
        <v>1321</v>
      </c>
      <c r="G570" s="3" t="str">
        <f>IFERROR(__xludf.DUMMYFUNCTION("IF(REGEXMATCH(F570, ""(?:.*,\s*)?([^,]+),\s*([^,]+),\s*Philippines.*""), TRIM(REGEXREPLACE(REGEXREPLACE(F570, ""(?:.*,\s*)?([^,]+),\s*([^,]+),\s*Philippines.*"", ""$1, $2""), ""\d+"", """")), """")"),"Gumaca, Quezon")</f>
        <v>Gumaca, Quezon</v>
      </c>
    </row>
    <row r="571">
      <c r="A571" s="1" t="s">
        <v>1627</v>
      </c>
      <c r="B571" s="1" t="s">
        <v>1628</v>
      </c>
      <c r="C571" s="1" t="s">
        <v>13</v>
      </c>
      <c r="D571" s="1">
        <v>14.0276319</v>
      </c>
      <c r="E571" s="1">
        <v>122.3313933</v>
      </c>
      <c r="F571" s="1" t="s">
        <v>1629</v>
      </c>
      <c r="G571" s="3" t="str">
        <f>IFERROR(__xludf.DUMMYFUNCTION("IF(REGEXMATCH(F571, ""(?:.*,\s*)?([^,]+),\s*([^,]+),\s*Philippines.*""), TRIM(REGEXREPLACE(REGEXREPLACE(F571, ""(?:.*,\s*)?([^,]+),\s*([^,]+),\s*Philippines.*"", ""$1, $2""), ""\d+"", """")), """")"),"Calauag, Quezon")</f>
        <v>Calauag, Quezon</v>
      </c>
    </row>
    <row r="572">
      <c r="A572" s="1" t="s">
        <v>1630</v>
      </c>
      <c r="B572" s="1" t="s">
        <v>1631</v>
      </c>
      <c r="C572" s="1" t="s">
        <v>13</v>
      </c>
      <c r="D572" s="1">
        <v>14.7124545</v>
      </c>
      <c r="E572" s="1">
        <v>121.6582548</v>
      </c>
      <c r="F572" s="1" t="s">
        <v>1632</v>
      </c>
      <c r="G572" s="3" t="str">
        <f>IFERROR(__xludf.DUMMYFUNCTION("IF(REGEXMATCH(F572, ""(?:.*,\s*)?([^,]+),\s*([^,]+),\s*Philippines.*""), TRIM(REGEXREPLACE(REGEXREPLACE(F572, ""(?:.*,\s*)?([^,]+),\s*([^,]+),\s*Philippines.*"", ""$1, $2""), ""\d+"", """")), """")"),"Infanta, Quezon")</f>
        <v>Infanta, Quezon</v>
      </c>
    </row>
    <row r="573">
      <c r="A573" s="1" t="s">
        <v>1633</v>
      </c>
      <c r="B573" s="1" t="s">
        <v>1634</v>
      </c>
      <c r="C573" s="1" t="s">
        <v>13</v>
      </c>
      <c r="D573" s="1">
        <v>14.2055536</v>
      </c>
      <c r="E573" s="1">
        <v>121.1656154</v>
      </c>
      <c r="F573" s="1" t="s">
        <v>1635</v>
      </c>
      <c r="G573" s="3" t="str">
        <f>IFERROR(__xludf.DUMMYFUNCTION("IF(REGEXMATCH(F573, ""(?:.*,\s*)?([^,]+),\s*([^,]+),\s*Philippines.*""), TRIM(REGEXREPLACE(REGEXREPLACE(F573, ""(?:.*,\s*)?([^,]+),\s*([^,]+),\s*Philippines.*"", ""$1, $2""), ""\d+"", """")), """")"),"Calamba, Laguna")</f>
        <v>Calamba, Laguna</v>
      </c>
    </row>
    <row r="574">
      <c r="A574" s="1" t="s">
        <v>1636</v>
      </c>
      <c r="B574" s="1" t="s">
        <v>1637</v>
      </c>
      <c r="C574" s="1" t="s">
        <v>9</v>
      </c>
      <c r="D574" s="1">
        <v>13.8831968</v>
      </c>
      <c r="E574" s="1">
        <v>120.9179767</v>
      </c>
      <c r="F574" s="1" t="s">
        <v>1638</v>
      </c>
      <c r="G574" s="3" t="str">
        <f>IFERROR(__xludf.DUMMYFUNCTION("IF(REGEXMATCH(F574, ""(?:.*,\s*)?([^,]+),\s*([^,]+),\s*Philippines.*""), TRIM(REGEXREPLACE(REGEXREPLACE(F574, ""(?:.*,\s*)?([^,]+),\s*([^,]+),\s*Philippines.*"", ""$1, $2""), ""\d+"", """")), """")"),"Lemery, Batangas")</f>
        <v>Lemery, Batangas</v>
      </c>
    </row>
    <row r="575">
      <c r="A575" s="1" t="s">
        <v>1639</v>
      </c>
      <c r="B575" s="1" t="s">
        <v>1640</v>
      </c>
      <c r="C575" s="1" t="s">
        <v>9</v>
      </c>
      <c r="D575" s="1">
        <v>13.886141</v>
      </c>
      <c r="E575" s="1">
        <v>120.9152789</v>
      </c>
      <c r="F575" s="1" t="s">
        <v>1641</v>
      </c>
      <c r="G575" s="3" t="str">
        <f>IFERROR(__xludf.DUMMYFUNCTION("IF(REGEXMATCH(F575, ""(?:.*,\s*)?([^,]+),\s*([^,]+),\s*Philippines.*""), TRIM(REGEXREPLACE(REGEXREPLACE(F575, ""(?:.*,\s*)?([^,]+),\s*([^,]+),\s*Philippines.*"", ""$1, $2""), ""\d+"", """")), """")"),"Lemery, Batangas")</f>
        <v>Lemery, Batangas</v>
      </c>
    </row>
    <row r="576">
      <c r="A576" s="1" t="s">
        <v>1642</v>
      </c>
      <c r="B576" s="1" t="s">
        <v>1643</v>
      </c>
      <c r="C576" s="1" t="s">
        <v>13</v>
      </c>
      <c r="D576" s="1">
        <v>14.0005626</v>
      </c>
      <c r="E576" s="1">
        <v>121.9209883</v>
      </c>
      <c r="F576" s="1" t="s">
        <v>1644</v>
      </c>
      <c r="G576" s="3" t="str">
        <f>IFERROR(__xludf.DUMMYFUNCTION("IF(REGEXMATCH(F576, ""(?:.*,\s*)?([^,]+),\s*([^,]+),\s*Philippines.*""), TRIM(REGEXREPLACE(REGEXREPLACE(F576, ""(?:.*,\s*)?([^,]+),\s*([^,]+),\s*Philippines.*"", ""$1, $2""), ""\d+"", """")), """")"),"Atimonan, Quezon")</f>
        <v>Atimonan, Quezon</v>
      </c>
    </row>
    <row r="577">
      <c r="A577" s="1" t="s">
        <v>1645</v>
      </c>
      <c r="B577" s="1" t="s">
        <v>1646</v>
      </c>
      <c r="C577" s="1" t="s">
        <v>13</v>
      </c>
      <c r="D577" s="1">
        <v>8.3665348</v>
      </c>
      <c r="E577" s="1">
        <v>123.8392888</v>
      </c>
      <c r="F577" s="1" t="s">
        <v>1647</v>
      </c>
      <c r="G577" s="3" t="str">
        <f>IFERROR(__xludf.DUMMYFUNCTION("IF(REGEXMATCH(F577, ""(?:.*,\s*)?([^,]+),\s*([^,]+),\s*Philippines.*""), TRIM(REGEXREPLACE(REGEXREPLACE(F577, ""(?:.*,\s*)?([^,]+),\s*([^,]+),\s*Philippines.*"", ""$1, $2""), ""\d+"", """")), """")"),"Panaon, Misamis Occidental")</f>
        <v>Panaon, Misamis Occidental</v>
      </c>
    </row>
    <row r="578">
      <c r="A578" s="1" t="s">
        <v>1648</v>
      </c>
      <c r="B578" s="1" t="s">
        <v>1649</v>
      </c>
      <c r="C578" s="1" t="s">
        <v>13</v>
      </c>
      <c r="D578" s="1">
        <v>14.0343706</v>
      </c>
      <c r="E578" s="1">
        <v>120.652721</v>
      </c>
      <c r="F578" s="1" t="s">
        <v>1650</v>
      </c>
      <c r="G578" s="3" t="str">
        <f>IFERROR(__xludf.DUMMYFUNCTION("IF(REGEXMATCH(F578, ""(?:.*,\s*)?([^,]+),\s*([^,]+),\s*Philippines.*""), TRIM(REGEXREPLACE(REGEXREPLACE(F578, ""(?:.*,\s*)?([^,]+),\s*([^,]+),\s*Philippines.*"", ""$1, $2""), ""\d+"", """")), """")"),"Lian, Batangas")</f>
        <v>Lian, Batangas</v>
      </c>
    </row>
    <row r="579">
      <c r="A579" s="1" t="s">
        <v>1651</v>
      </c>
      <c r="B579" s="1" t="s">
        <v>1652</v>
      </c>
      <c r="C579" s="1" t="s">
        <v>9</v>
      </c>
      <c r="D579" s="1">
        <v>14.025454</v>
      </c>
      <c r="E579" s="1">
        <v>120.6671296</v>
      </c>
      <c r="F579" s="1" t="s">
        <v>1653</v>
      </c>
      <c r="G579" s="3" t="str">
        <f>IFERROR(__xludf.DUMMYFUNCTION("IF(REGEXMATCH(F579, ""(?:.*,\s*)?([^,]+),\s*([^,]+),\s*Philippines.*""), TRIM(REGEXREPLACE(REGEXREPLACE(F579, ""(?:.*,\s*)?([^,]+),\s*([^,]+),\s*Philippines.*"", ""$1, $2""), ""\d+"", """")), """")"),"Lian, Batangas")</f>
        <v>Lian, Batangas</v>
      </c>
    </row>
    <row r="580">
      <c r="A580" s="1" t="s">
        <v>1654</v>
      </c>
      <c r="B580" s="1" t="s">
        <v>1655</v>
      </c>
      <c r="C580" s="1" t="s">
        <v>13</v>
      </c>
      <c r="D580" s="1">
        <v>12.879721</v>
      </c>
      <c r="E580" s="1">
        <v>121.774017</v>
      </c>
      <c r="F580" s="1" t="s">
        <v>47</v>
      </c>
      <c r="G580" s="3" t="str">
        <f>IFERROR(__xludf.DUMMYFUNCTION("IF(REGEXMATCH(F580, ""(?:.*,\s*)?([^,]+),\s*([^,]+),\s*Philippines.*""), TRIM(REGEXREPLACE(REGEXREPLACE(F580, ""(?:.*,\s*)?([^,]+),\s*([^,]+),\s*Philippines.*"", ""$1, $2""), ""\d+"", """")), """")"),"")</f>
        <v/>
      </c>
    </row>
    <row r="581">
      <c r="A581" s="1" t="s">
        <v>1656</v>
      </c>
      <c r="B581" s="1" t="s">
        <v>485</v>
      </c>
      <c r="C581" s="1" t="s">
        <v>13</v>
      </c>
      <c r="D581" s="1">
        <v>14.180694</v>
      </c>
      <c r="E581" s="1">
        <v>121.284097</v>
      </c>
      <c r="F581" s="1" t="s">
        <v>1657</v>
      </c>
      <c r="G581" s="3" t="str">
        <f>IFERROR(__xludf.DUMMYFUNCTION("IF(REGEXMATCH(F581, ""(?:.*,\s*)?([^,]+),\s*([^,]+),\s*Philippines.*""), TRIM(REGEXREPLACE(REGEXREPLACE(F581, ""(?:.*,\s*)?([^,]+),\s*([^,]+),\s*Philippines.*"", ""$1, $2""), ""\d+"", """")), """")"),"Bay, Laguna")</f>
        <v>Bay, Laguna</v>
      </c>
    </row>
    <row r="582">
      <c r="A582" s="1" t="s">
        <v>1658</v>
      </c>
      <c r="B582" s="1" t="s">
        <v>642</v>
      </c>
      <c r="C582" s="1" t="s">
        <v>13</v>
      </c>
      <c r="D582" s="1">
        <v>14.1848844</v>
      </c>
      <c r="E582" s="1">
        <v>121.5091579</v>
      </c>
      <c r="F582" s="1" t="s">
        <v>1659</v>
      </c>
      <c r="G582" s="3" t="str">
        <f>IFERROR(__xludf.DUMMYFUNCTION("IF(REGEXMATCH(F582, ""(?:.*,\s*)?([^,]+),\s*([^,]+),\s*Philippines.*""), TRIM(REGEXREPLACE(REGEXREPLACE(F582, ""(?:.*,\s*)?([^,]+),\s*([^,]+),\s*Philippines.*"", ""$1, $2""), ""\d+"", """")), """")"),"Luisiana, Laguna")</f>
        <v>Luisiana, Laguna</v>
      </c>
    </row>
    <row r="583">
      <c r="A583" s="1" t="s">
        <v>1660</v>
      </c>
      <c r="B583" s="1" t="s">
        <v>1661</v>
      </c>
      <c r="C583" s="1" t="s">
        <v>13</v>
      </c>
      <c r="D583" s="1">
        <v>14.234892</v>
      </c>
      <c r="E583" s="1">
        <v>121.158359</v>
      </c>
      <c r="F583" s="1" t="s">
        <v>1662</v>
      </c>
      <c r="G583" s="3" t="str">
        <f>IFERROR(__xludf.DUMMYFUNCTION("IF(REGEXMATCH(F583, ""(?:.*,\s*)?([^,]+),\s*([^,]+),\s*Philippines.*""), TRIM(REGEXREPLACE(REGEXREPLACE(F583, ""(?:.*,\s*)?([^,]+),\s*([^,]+),\s*Philippines.*"", ""$1, $2""), ""\d+"", """")), """")"),"Cabuyao City, Laguna")</f>
        <v>Cabuyao City, Laguna</v>
      </c>
    </row>
    <row r="584">
      <c r="A584" s="1" t="s">
        <v>1663</v>
      </c>
      <c r="B584" s="1" t="s">
        <v>1664</v>
      </c>
      <c r="C584" s="1" t="s">
        <v>13</v>
      </c>
      <c r="D584" s="1">
        <v>14.3647727</v>
      </c>
      <c r="E584" s="1">
        <v>121.4814327</v>
      </c>
      <c r="F584" s="1" t="s">
        <v>1665</v>
      </c>
      <c r="G584" s="3" t="str">
        <f>IFERROR(__xludf.DUMMYFUNCTION("IF(REGEXMATCH(F584, ""(?:.*,\s*)?([^,]+),\s*([^,]+),\s*Philippines.*""), TRIM(REGEXREPLACE(REGEXREPLACE(F584, ""(?:.*,\s*)?([^,]+),\s*([^,]+),\s*Philippines.*"", ""$1, $2""), ""\d+"", """")), """")"),"Paete, Laguna")</f>
        <v>Paete, Laguna</v>
      </c>
    </row>
    <row r="585">
      <c r="A585" s="1" t="s">
        <v>1666</v>
      </c>
      <c r="B585" s="1" t="s">
        <v>1667</v>
      </c>
      <c r="C585" s="1" t="s">
        <v>13</v>
      </c>
      <c r="D585" s="1">
        <v>14.3370822</v>
      </c>
      <c r="E585" s="1">
        <v>121.5101991</v>
      </c>
      <c r="F585" s="1" t="s">
        <v>1668</v>
      </c>
      <c r="G585" s="3" t="str">
        <f>IFERROR(__xludf.DUMMYFUNCTION("IF(REGEXMATCH(F585, ""(?:.*,\s*)?([^,]+),\s*([^,]+),\s*Philippines.*""), TRIM(REGEXREPLACE(REGEXREPLACE(F585, ""(?:.*,\s*)?([^,]+),\s*([^,]+),\s*Philippines.*"", ""$1, $2""), ""\d+"", """")), """")"),"Kalayaan, Laguna")</f>
        <v>Kalayaan, Laguna</v>
      </c>
    </row>
    <row r="586">
      <c r="A586" s="1" t="s">
        <v>1669</v>
      </c>
      <c r="B586" s="1" t="s">
        <v>1670</v>
      </c>
      <c r="C586" s="1" t="s">
        <v>9</v>
      </c>
      <c r="D586" s="1">
        <v>12.540863</v>
      </c>
      <c r="E586" s="1">
        <v>124.8755214</v>
      </c>
      <c r="F586" s="1" t="s">
        <v>1671</v>
      </c>
      <c r="G586" s="3" t="str">
        <f>IFERROR(__xludf.DUMMYFUNCTION("IF(REGEXMATCH(F586, ""(?:.*,\s*)?([^,]+),\s*([^,]+),\s*Philippines.*""), TRIM(REGEXREPLACE(REGEXREPLACE(F586, ""(?:.*,\s*)?([^,]+),\s*([^,]+),\s*Philippines.*"", ""$1, $2""), ""\d+"", """")), """")"),"San Roque, Northern Samar")</f>
        <v>San Roque, Northern Samar</v>
      </c>
    </row>
    <row r="587">
      <c r="A587" s="1" t="s">
        <v>1672</v>
      </c>
      <c r="B587" s="1" t="s">
        <v>1649</v>
      </c>
      <c r="C587" s="1" t="s">
        <v>766</v>
      </c>
      <c r="D587" s="1">
        <v>14.2243239</v>
      </c>
      <c r="E587" s="1">
        <v>121.33301</v>
      </c>
      <c r="F587" s="1" t="s">
        <v>1673</v>
      </c>
      <c r="G587" s="3" t="str">
        <f>IFERROR(__xludf.DUMMYFUNCTION("IF(REGEXMATCH(F587, ""(?:.*,\s*)?([^,]+),\s*([^,]+),\s*Philippines.*""), TRIM(REGEXREPLACE(REGEXREPLACE(F587, ""(?:.*,\s*)?([^,]+),\s*([^,]+),\s*Philippines.*"", ""$1, $2""), ""\d+"", """")), """")"),"Victoria, Laguna")</f>
        <v>Victoria, Laguna</v>
      </c>
    </row>
    <row r="588">
      <c r="A588" s="1" t="s">
        <v>1674</v>
      </c>
      <c r="B588" s="1" t="s">
        <v>1675</v>
      </c>
      <c r="C588" s="1" t="s">
        <v>9</v>
      </c>
      <c r="D588" s="1">
        <v>14.143119</v>
      </c>
      <c r="E588" s="1">
        <v>121.438709</v>
      </c>
      <c r="F588" s="1" t="s">
        <v>1676</v>
      </c>
      <c r="G588" s="3" t="str">
        <f>IFERROR(__xludf.DUMMYFUNCTION("IF(REGEXMATCH(F588, ""(?:.*,\s*)?([^,]+),\s*([^,]+),\s*Philippines.*""), TRIM(REGEXREPLACE(REGEXREPLACE(F588, ""(?:.*,\s*)?([^,]+),\s*([^,]+),\s*Philippines.*"", ""$1, $2""), ""\d+"", """")), """")"),"Liliw, Laguna")</f>
        <v>Liliw, Laguna</v>
      </c>
    </row>
    <row r="589">
      <c r="A589" s="1" t="s">
        <v>1677</v>
      </c>
      <c r="B589" s="1" t="s">
        <v>1678</v>
      </c>
      <c r="C589" s="1" t="s">
        <v>9</v>
      </c>
      <c r="D589" s="1">
        <v>14.0854715</v>
      </c>
      <c r="E589" s="1">
        <v>121.1522367</v>
      </c>
      <c r="F589" s="1" t="s">
        <v>1679</v>
      </c>
      <c r="G589" s="3" t="str">
        <f>IFERROR(__xludf.DUMMYFUNCTION("IF(REGEXMATCH(F589, ""(?:.*,\s*)?([^,]+),\s*([^,]+),\s*Philippines.*""), TRIM(REGEXREPLACE(REGEXREPLACE(F589, ""(?:.*,\s*)?([^,]+),\s*([^,]+),\s*Philippines.*"", ""$1, $2""), ""\d+"", """")), """")"),"Tanauan City, Batangas")</f>
        <v>Tanauan City, Batangas</v>
      </c>
    </row>
    <row r="590">
      <c r="A590" s="1" t="s">
        <v>1680</v>
      </c>
      <c r="B590" s="1" t="s">
        <v>1681</v>
      </c>
      <c r="C590" s="1" t="s">
        <v>13</v>
      </c>
      <c r="D590" s="1">
        <v>13.8889288</v>
      </c>
      <c r="E590" s="1">
        <v>121.8932592</v>
      </c>
      <c r="F590" s="1" t="s">
        <v>1013</v>
      </c>
      <c r="G590" s="3" t="str">
        <f>IFERROR(__xludf.DUMMYFUNCTION("IF(REGEXMATCH(F590, ""(?:.*,\s*)?([^,]+),\s*([^,]+),\s*Philippines.*""), TRIM(REGEXREPLACE(REGEXREPLACE(F590, ""(?:.*,\s*)?([^,]+),\s*([^,]+),\s*Philippines.*"", ""$1, $2""), ""\d+"", """")), """")"),"Padre Burgos, Quezon")</f>
        <v>Padre Burgos, Quezon</v>
      </c>
    </row>
    <row r="591">
      <c r="A591" s="1" t="s">
        <v>1682</v>
      </c>
      <c r="B591" s="1" t="s">
        <v>1683</v>
      </c>
      <c r="C591" s="1" t="s">
        <v>13</v>
      </c>
      <c r="D591" s="1">
        <v>13.942037</v>
      </c>
      <c r="E591" s="1">
        <v>121.156877</v>
      </c>
      <c r="F591" s="1" t="s">
        <v>1684</v>
      </c>
      <c r="G591" s="3" t="str">
        <f>IFERROR(__xludf.DUMMYFUNCTION("IF(REGEXMATCH(F591, ""(?:.*,\s*)?([^,]+),\s*([^,]+),\s*Philippines.*""), TRIM(REGEXREPLACE(REGEXREPLACE(F591, ""(?:.*,\s*)?([^,]+),\s*([^,]+),\s*Philippines.*"", ""$1, $2""), ""\d+"", """")), """")"),"Lipa City, Batangas")</f>
        <v>Lipa City, Batangas</v>
      </c>
    </row>
    <row r="592">
      <c r="A592" s="1" t="s">
        <v>1685</v>
      </c>
      <c r="B592" s="1" t="s">
        <v>1686</v>
      </c>
      <c r="C592" s="1" t="s">
        <v>13</v>
      </c>
      <c r="D592" s="1">
        <v>13.9424787</v>
      </c>
      <c r="E592" s="1">
        <v>121.1570108</v>
      </c>
      <c r="F592" s="1" t="s">
        <v>1687</v>
      </c>
      <c r="G592" s="3" t="str">
        <f>IFERROR(__xludf.DUMMYFUNCTION("IF(REGEXMATCH(F592, ""(?:.*,\s*)?([^,]+),\s*([^,]+),\s*Philippines.*""), TRIM(REGEXREPLACE(REGEXREPLACE(F592, ""(?:.*,\s*)?([^,]+),\s*([^,]+),\s*Philippines.*"", ""$1, $2""), ""\d+"", """")), """")"),"Lipa City, Batangas")</f>
        <v>Lipa City, Batangas</v>
      </c>
    </row>
    <row r="593">
      <c r="A593" s="1" t="s">
        <v>1688</v>
      </c>
      <c r="B593" s="1" t="s">
        <v>1689</v>
      </c>
      <c r="C593" s="1" t="s">
        <v>9</v>
      </c>
      <c r="D593" s="1">
        <v>13.9411083</v>
      </c>
      <c r="E593" s="1">
        <v>121.1559415</v>
      </c>
      <c r="F593" s="1" t="s">
        <v>1690</v>
      </c>
      <c r="G593" s="3" t="str">
        <f>IFERROR(__xludf.DUMMYFUNCTION("IF(REGEXMATCH(F593, ""(?:.*,\s*)?([^,]+),\s*([^,]+),\s*Philippines.*""), TRIM(REGEXREPLACE(REGEXREPLACE(F593, ""(?:.*,\s*)?([^,]+),\s*([^,]+),\s*Philippines.*"", ""$1, $2""), ""\d+"", """")), """")"),"Lipa City, Batangas")</f>
        <v>Lipa City, Batangas</v>
      </c>
    </row>
    <row r="594">
      <c r="A594" s="1" t="s">
        <v>1691</v>
      </c>
      <c r="B594" s="1" t="s">
        <v>1692</v>
      </c>
      <c r="C594" s="1" t="s">
        <v>13</v>
      </c>
      <c r="D594" s="1">
        <v>13.966971</v>
      </c>
      <c r="E594" s="1">
        <v>121.1842002</v>
      </c>
      <c r="F594" s="1" t="s">
        <v>1693</v>
      </c>
      <c r="G594" s="3" t="str">
        <f>IFERROR(__xludf.DUMMYFUNCTION("IF(REGEXMATCH(F594, ""(?:.*,\s*)?([^,]+),\s*([^,]+),\s*Philippines.*""), TRIM(REGEXREPLACE(REGEXREPLACE(F594, ""(?:.*,\s*)?([^,]+),\s*([^,]+),\s*Philippines.*"", ""$1, $2""), ""\d+"", """")), """")"),"Lipa City, Batangas")</f>
        <v>Lipa City, Batangas</v>
      </c>
    </row>
    <row r="595">
      <c r="A595" s="1" t="s">
        <v>1694</v>
      </c>
      <c r="B595" s="1" t="s">
        <v>1695</v>
      </c>
      <c r="C595" s="1" t="s">
        <v>13</v>
      </c>
      <c r="D595" s="1">
        <v>14.1088267</v>
      </c>
      <c r="E595" s="1">
        <v>121.6875932</v>
      </c>
      <c r="F595" s="1" t="s">
        <v>1696</v>
      </c>
      <c r="G595" s="3" t="str">
        <f>IFERROR(__xludf.DUMMYFUNCTION("IF(REGEXMATCH(F595, ""(?:.*,\s*)?([^,]+),\s*([^,]+),\s*Philippines.*""), TRIM(REGEXREPLACE(REGEXREPLACE(F595, ""(?:.*,\s*)?([^,]+),\s*([^,]+),\s*Philippines.*"", ""$1, $2""), ""\d+"", """")), """")"),"Mauban, Quezon")</f>
        <v>Mauban, Quezon</v>
      </c>
    </row>
    <row r="596">
      <c r="A596" s="1" t="s">
        <v>1697</v>
      </c>
      <c r="B596" s="1" t="s">
        <v>1698</v>
      </c>
      <c r="C596" s="1" t="s">
        <v>9</v>
      </c>
      <c r="D596" s="1">
        <v>14.2913782</v>
      </c>
      <c r="E596" s="1">
        <v>121.0965092</v>
      </c>
      <c r="F596" s="1" t="s">
        <v>1576</v>
      </c>
      <c r="G596" s="3" t="str">
        <f>IFERROR(__xludf.DUMMYFUNCTION("IF(REGEXMATCH(F596, ""(?:.*,\s*)?([^,]+),\s*([^,]+),\s*Philippines.*""), TRIM(REGEXREPLACE(REGEXREPLACE(F596, ""(?:.*,\s*)?([^,]+),\s*([^,]+),\s*Philippines.*"", ""$1, $2""), ""\d+"", """")), """")"),"City of Santa Rosa, Laguna")</f>
        <v>City of Santa Rosa, Laguna</v>
      </c>
    </row>
    <row r="597">
      <c r="A597" s="1" t="s">
        <v>1699</v>
      </c>
      <c r="B597" s="1" t="s">
        <v>1700</v>
      </c>
      <c r="C597" s="1" t="s">
        <v>13</v>
      </c>
      <c r="D597" s="1">
        <v>13.6430206</v>
      </c>
      <c r="E597" s="1">
        <v>121.2177908</v>
      </c>
      <c r="F597" s="1" t="s">
        <v>1701</v>
      </c>
      <c r="G597" s="3" t="str">
        <f>IFERROR(__xludf.DUMMYFUNCTION("IF(REGEXMATCH(F597, ""(?:.*,\s*)?([^,]+),\s*([^,]+),\s*Philippines.*""), TRIM(REGEXREPLACE(REGEXREPLACE(F597, ""(?:.*,\s*)?([^,]+),\s*([^,]+),\s*Philippines.*"", ""$1, $2""), ""\d+"", """")), """")"),"Lobo, Batangas")</f>
        <v>Lobo, Batangas</v>
      </c>
    </row>
    <row r="598">
      <c r="A598" s="1" t="s">
        <v>1702</v>
      </c>
      <c r="B598" s="1" t="s">
        <v>1703</v>
      </c>
      <c r="C598" s="1" t="s">
        <v>9</v>
      </c>
      <c r="D598" s="1">
        <v>13.6496871</v>
      </c>
      <c r="E598" s="1">
        <v>121.2087212</v>
      </c>
      <c r="F598" s="1" t="s">
        <v>1704</v>
      </c>
      <c r="G598" s="3" t="str">
        <f>IFERROR(__xludf.DUMMYFUNCTION("IF(REGEXMATCH(F598, ""(?:.*,\s*)?([^,]+),\s*([^,]+),\s*Philippines.*""), TRIM(REGEXREPLACE(REGEXREPLACE(F598, ""(?:.*,\s*)?([^,]+),\s*([^,]+),\s*Philippines.*"", ""$1, $2""), ""\d+"", """")), """")"),"Lobo, Batangas")</f>
        <v>Lobo, Batangas</v>
      </c>
    </row>
    <row r="599">
      <c r="A599" s="1" t="s">
        <v>1705</v>
      </c>
      <c r="C599" s="1" t="s">
        <v>13</v>
      </c>
      <c r="D599" s="1">
        <v>13.9281707</v>
      </c>
      <c r="E599" s="1">
        <v>121.1429415</v>
      </c>
      <c r="F599" s="1" t="s">
        <v>1706</v>
      </c>
      <c r="G599" s="3" t="str">
        <f>IFERROR(__xludf.DUMMYFUNCTION("IF(REGEXMATCH(F599, ""(?:.*,\s*)?([^,]+),\s*([^,]+),\s*Philippines.*""), TRIM(REGEXREPLACE(REGEXREPLACE(F599, ""(?:.*,\s*)?([^,]+),\s*([^,]+),\s*Philippines.*"", ""$1, $2""), ""\d+"", """")), """")"),"Lipa City, Batangas")</f>
        <v>Lipa City, Batangas</v>
      </c>
    </row>
    <row r="600">
      <c r="A600" s="1" t="s">
        <v>1707</v>
      </c>
      <c r="B600" s="1" t="s">
        <v>1708</v>
      </c>
      <c r="C600" s="1" t="s">
        <v>13</v>
      </c>
      <c r="D600" s="1">
        <v>14.2225563</v>
      </c>
      <c r="E600" s="1">
        <v>121.1773887</v>
      </c>
      <c r="F600" s="1" t="s">
        <v>1709</v>
      </c>
      <c r="G600" s="3" t="str">
        <f>IFERROR(__xludf.DUMMYFUNCTION("IF(REGEXMATCH(F600, ""(?:.*,\s*)?([^,]+),\s*([^,]+),\s*Philippines.*""), TRIM(REGEXREPLACE(REGEXREPLACE(F600, ""(?:.*,\s*)?([^,]+),\s*([^,]+),\s*Philippines.*"", ""$1, $2""), ""\d+"", """")), """")"),"Calamba, Laguna")</f>
        <v>Calamba, Laguna</v>
      </c>
    </row>
    <row r="601">
      <c r="A601" s="1" t="s">
        <v>1710</v>
      </c>
      <c r="B601" s="1" t="s">
        <v>1711</v>
      </c>
      <c r="C601" s="1" t="s">
        <v>13</v>
      </c>
      <c r="D601" s="1">
        <v>13.8856403</v>
      </c>
      <c r="E601" s="1">
        <v>122.2636794</v>
      </c>
      <c r="F601" s="1" t="s">
        <v>1712</v>
      </c>
      <c r="G601" s="3" t="str">
        <f>IFERROR(__xludf.DUMMYFUNCTION("IF(REGEXMATCH(F601, ""(?:.*,\s*)?([^,]+),\s*([^,]+),\s*Philippines.*""), TRIM(REGEXREPLACE(REGEXREPLACE(F601, ""(?:.*,\s*)?([^,]+),\s*([^,]+),\s*Philippines.*"", ""$1, $2""), ""\d+"", """")), """")"),"Lopez, Quezon")</f>
        <v>Lopez, Quezon</v>
      </c>
    </row>
    <row r="602">
      <c r="A602" s="1" t="s">
        <v>1713</v>
      </c>
      <c r="B602" s="1" t="s">
        <v>1714</v>
      </c>
      <c r="C602" s="1" t="s">
        <v>9</v>
      </c>
      <c r="D602" s="1">
        <v>13.6453368</v>
      </c>
      <c r="E602" s="1">
        <v>121.2077047</v>
      </c>
      <c r="F602" s="1" t="s">
        <v>1715</v>
      </c>
      <c r="G602" s="3" t="str">
        <f>IFERROR(__xludf.DUMMYFUNCTION("IF(REGEXMATCH(F602, ""(?:.*,\s*)?([^,]+),\s*([^,]+),\s*Philippines.*""), TRIM(REGEXREPLACE(REGEXREPLACE(F602, ""(?:.*,\s*)?([^,]+),\s*([^,]+),\s*Philippines.*"", ""$1, $2""), ""\d+"", """")), """")"),"Lobo, Batangas")</f>
        <v>Lobo, Batangas</v>
      </c>
    </row>
    <row r="603">
      <c r="A603" s="1" t="s">
        <v>1716</v>
      </c>
      <c r="C603" s="1" t="s">
        <v>9</v>
      </c>
      <c r="D603" s="1">
        <v>14.1914677</v>
      </c>
      <c r="E603" s="1">
        <v>121.2440936</v>
      </c>
      <c r="F603" s="1" t="s">
        <v>1717</v>
      </c>
      <c r="G603" s="3" t="str">
        <f>IFERROR(__xludf.DUMMYFUNCTION("IF(REGEXMATCH(F603, ""(?:.*,\s*)?([^,]+),\s*([^,]+),\s*Philippines.*""), TRIM(REGEXREPLACE(REGEXREPLACE(F603, ""(?:.*,\s*)?([^,]+),\s*([^,]+),\s*Philippines.*"", ""$1, $2""), ""\d+"", """")), """")"),"Los Baños, Laguna")</f>
        <v>Los Baños, Laguna</v>
      </c>
    </row>
    <row r="604">
      <c r="A604" s="1" t="s">
        <v>1718</v>
      </c>
      <c r="B604" s="1" t="s">
        <v>1719</v>
      </c>
      <c r="C604" s="1" t="s">
        <v>9</v>
      </c>
      <c r="D604" s="1">
        <v>16.3873795</v>
      </c>
      <c r="E604" s="1">
        <v>121.1076009</v>
      </c>
      <c r="F604" s="1" t="s">
        <v>1720</v>
      </c>
      <c r="G604" s="3" t="str">
        <f>IFERROR(__xludf.DUMMYFUNCTION("IF(REGEXMATCH(F604, ""(?:.*,\s*)?([^,]+),\s*([^,]+),\s*Philippines.*""), TRIM(REGEXREPLACE(REGEXREPLACE(F604, ""(?:.*,\s*)?([^,]+),\s*([^,]+),\s*Philippines.*"", ""$1, $2""), ""\d+"", """")), """")"),"Bambang, Nueva Vizcaya")</f>
        <v>Bambang, Nueva Vizcaya</v>
      </c>
    </row>
    <row r="605">
      <c r="A605" s="1" t="s">
        <v>1721</v>
      </c>
      <c r="B605" s="1" t="s">
        <v>1722</v>
      </c>
      <c r="C605" s="1" t="s">
        <v>9</v>
      </c>
      <c r="D605" s="1">
        <v>14.1718306</v>
      </c>
      <c r="E605" s="1">
        <v>121.2146703</v>
      </c>
      <c r="F605" s="1" t="s">
        <v>1723</v>
      </c>
      <c r="G605" s="3" t="str">
        <f>IFERROR(__xludf.DUMMYFUNCTION("IF(REGEXMATCH(F605, ""(?:.*,\s*)?([^,]+),\s*([^,]+),\s*Philippines.*""), TRIM(REGEXREPLACE(REGEXREPLACE(F605, ""(?:.*,\s*)?([^,]+),\s*([^,]+),\s*Philippines.*"", ""$1, $2""), ""\d+"", """")), """")"),"Los Baños, Laguna")</f>
        <v>Los Baños, Laguna</v>
      </c>
    </row>
    <row r="606">
      <c r="A606" s="1" t="s">
        <v>1724</v>
      </c>
      <c r="B606" s="1" t="s">
        <v>1725</v>
      </c>
      <c r="C606" s="1" t="s">
        <v>9</v>
      </c>
      <c r="D606" s="1">
        <v>14.1780533</v>
      </c>
      <c r="E606" s="1">
        <v>121.24976</v>
      </c>
      <c r="F606" s="1" t="s">
        <v>1726</v>
      </c>
      <c r="G606" s="3" t="str">
        <f>IFERROR(__xludf.DUMMYFUNCTION("IF(REGEXMATCH(F606, ""(?:.*,\s*)?([^,]+),\s*([^,]+),\s*Philippines.*""), TRIM(REGEXREPLACE(REGEXREPLACE(F606, ""(?:.*,\s*)?([^,]+),\s*([^,]+),\s*Philippines.*"", ""$1, $2""), ""\d+"", """")), """")"),"Los Baños, Laguna")</f>
        <v>Los Baños, Laguna</v>
      </c>
    </row>
    <row r="607">
      <c r="A607" s="1" t="s">
        <v>1727</v>
      </c>
      <c r="B607" s="1" t="s">
        <v>1728</v>
      </c>
      <c r="C607" s="1" t="s">
        <v>13</v>
      </c>
      <c r="D607" s="1">
        <v>14.1791555</v>
      </c>
      <c r="E607" s="1">
        <v>121.3742768</v>
      </c>
      <c r="F607" s="1" t="s">
        <v>1729</v>
      </c>
      <c r="G607" s="3" t="str">
        <f>IFERROR(__xludf.DUMMYFUNCTION("IF(REGEXMATCH(F607, ""(?:.*,\s*)?([^,]+),\s*([^,]+),\s*Philippines.*""), TRIM(REGEXREPLACE(REGEXREPLACE(F607, ""(?:.*,\s*)?([^,]+),\s*([^,]+),\s*Philippines.*"", ""$1, $2""), ""\d+"", """")), """")"),"Nagcarlan, Laguna")</f>
        <v>Nagcarlan, Laguna</v>
      </c>
    </row>
    <row r="608">
      <c r="A608" s="1" t="s">
        <v>1730</v>
      </c>
      <c r="B608" s="1" t="s">
        <v>1731</v>
      </c>
      <c r="C608" s="1" t="s">
        <v>9</v>
      </c>
      <c r="D608" s="1">
        <v>14.2205321</v>
      </c>
      <c r="E608" s="1">
        <v>121.1394648</v>
      </c>
      <c r="F608" s="1" t="s">
        <v>1732</v>
      </c>
      <c r="G608" s="3" t="str">
        <f>IFERROR(__xludf.DUMMYFUNCTION("IF(REGEXMATCH(F608, ""(?:.*,\s*)?([^,]+),\s*([^,]+),\s*Philippines.*""), TRIM(REGEXREPLACE(REGEXREPLACE(F608, ""(?:.*,\s*)?([^,]+),\s*([^,]+),\s*Philippines.*"", ""$1, $2""), ""\d+"", """")), """")"),"Calamba, Laguna")</f>
        <v>Calamba, Laguna</v>
      </c>
    </row>
    <row r="609">
      <c r="A609" s="1" t="s">
        <v>1733</v>
      </c>
      <c r="B609" s="1" t="s">
        <v>1734</v>
      </c>
      <c r="C609" s="1" t="s">
        <v>13</v>
      </c>
      <c r="D609" s="1">
        <v>13.1930041</v>
      </c>
      <c r="E609" s="1">
        <v>122.6220934</v>
      </c>
      <c r="F609" s="1" t="s">
        <v>1735</v>
      </c>
      <c r="G609" s="3" t="str">
        <f>IFERROR(__xludf.DUMMYFUNCTION("IF(REGEXMATCH(F609, ""(?:.*,\s*)?([^,]+),\s*([^,]+),\s*Philippines.*""), TRIM(REGEXREPLACE(REGEXREPLACE(F609, ""(?:.*,\s*)?([^,]+),\s*([^,]+),\s*Philippines.*"", ""$1, $2""), ""\d+"", """")), """")"),"San Francisco (Aurora), Quezon")</f>
        <v>San Francisco (Aurora), Quezon</v>
      </c>
    </row>
    <row r="610">
      <c r="A610" s="1" t="s">
        <v>1736</v>
      </c>
      <c r="B610" s="1" t="s">
        <v>1737</v>
      </c>
      <c r="C610" s="1" t="s">
        <v>13</v>
      </c>
      <c r="D610" s="1">
        <v>14.5046526</v>
      </c>
      <c r="E610" s="1">
        <v>121.6296325</v>
      </c>
      <c r="F610" s="1" t="s">
        <v>1738</v>
      </c>
      <c r="G610" s="3" t="str">
        <f>IFERROR(__xludf.DUMMYFUNCTION("IF(REGEXMATCH(F610, ""(?:.*,\s*)?([^,]+),\s*([^,]+),\s*Philippines.*""), TRIM(REGEXREPLACE(REGEXREPLACE(F610, ""(?:.*,\s*)?([^,]+),\s*([^,]+),\s*Philippines.*"", ""$1, $2""), ""\d+"", """")), """")"),"Real, Quezon")</f>
        <v>Real, Quezon</v>
      </c>
    </row>
    <row r="611">
      <c r="A611" s="1" t="s">
        <v>1739</v>
      </c>
      <c r="B611" s="1" t="s">
        <v>1740</v>
      </c>
      <c r="C611" s="1" t="s">
        <v>13</v>
      </c>
      <c r="D611" s="1">
        <v>14.1143871</v>
      </c>
      <c r="E611" s="1">
        <v>121.5554083</v>
      </c>
      <c r="F611" s="1" t="s">
        <v>1741</v>
      </c>
      <c r="G611" s="3" t="str">
        <f>IFERROR(__xludf.DUMMYFUNCTION("IF(REGEXMATCH(F611, ""(?:.*,\s*)?([^,]+),\s*([^,]+),\s*Philippines.*""), TRIM(REGEXREPLACE(REGEXREPLACE(F611, ""(?:.*,\s*)?([^,]+),\s*([^,]+),\s*Philippines.*"", ""$1, $2""), ""\d+"", """")), """")"),"Lucban, Quezon")</f>
        <v>Lucban, Quezon</v>
      </c>
    </row>
    <row r="612">
      <c r="A612" s="1" t="s">
        <v>1742</v>
      </c>
      <c r="B612" s="1" t="s">
        <v>1743</v>
      </c>
      <c r="C612" s="1" t="s">
        <v>13</v>
      </c>
      <c r="D612" s="1">
        <v>13.9469506</v>
      </c>
      <c r="E612" s="1">
        <v>121.6279599</v>
      </c>
      <c r="F612" s="1" t="s">
        <v>1744</v>
      </c>
      <c r="G612" s="3" t="str">
        <f>IFERROR(__xludf.DUMMYFUNCTION("IF(REGEXMATCH(F612, ""(?:.*,\s*)?([^,]+),\s*([^,]+),\s*Philippines.*""), TRIM(REGEXREPLACE(REGEXREPLACE(F612, ""(?:.*,\s*)?([^,]+),\s*([^,]+),\s*Philippines.*"", ""$1, $2""), ""\d+"", """")), """")"),"Lucena City, Quezon Province")</f>
        <v>Lucena City, Quezon Province</v>
      </c>
    </row>
    <row r="613">
      <c r="A613" s="1" t="s">
        <v>1745</v>
      </c>
      <c r="B613" s="1" t="s">
        <v>1746</v>
      </c>
      <c r="C613" s="1" t="s">
        <v>13</v>
      </c>
      <c r="D613" s="1">
        <v>13.9099553</v>
      </c>
      <c r="E613" s="1">
        <v>121.6170316</v>
      </c>
      <c r="F613" s="1" t="s">
        <v>1747</v>
      </c>
      <c r="G613" s="3" t="str">
        <f>IFERROR(__xludf.DUMMYFUNCTION("IF(REGEXMATCH(F613, ""(?:.*,\s*)?([^,]+),\s*([^,]+),\s*Philippines.*""), TRIM(REGEXREPLACE(REGEXREPLACE(F613, ""(?:.*,\s*)?([^,]+),\s*([^,]+),\s*Philippines.*"", ""$1, $2""), ""\d+"", """")), """")"),"Lucena City, Quezon")</f>
        <v>Lucena City, Quezon</v>
      </c>
    </row>
    <row r="614">
      <c r="A614" s="1" t="s">
        <v>1748</v>
      </c>
      <c r="B614" s="1" t="s">
        <v>1749</v>
      </c>
      <c r="C614" s="1" t="s">
        <v>13</v>
      </c>
      <c r="D614" s="1">
        <v>14.0926766</v>
      </c>
      <c r="E614" s="1">
        <v>120.8807545</v>
      </c>
      <c r="F614" s="1" t="s">
        <v>1750</v>
      </c>
      <c r="G614" s="3" t="str">
        <f>IFERROR(__xludf.DUMMYFUNCTION("IF(REGEXMATCH(F614, ""(?:.*,\s*)?([^,]+),\s*([^,]+),\s*Philippines.*""), TRIM(REGEXREPLACE(REGEXREPLACE(F614, ""(?:.*,\s*)?([^,]+),\s*([^,]+),\s*Philippines.*"", ""$1, $2""), ""\d+"", """")), """")"),"Alfonso, Cavite")</f>
        <v>Alfonso, Cavite</v>
      </c>
    </row>
    <row r="615">
      <c r="A615" s="1" t="s">
        <v>1751</v>
      </c>
      <c r="B615" s="1" t="s">
        <v>1752</v>
      </c>
      <c r="C615" s="1" t="s">
        <v>13</v>
      </c>
      <c r="D615" s="1">
        <v>14.252843</v>
      </c>
      <c r="E615" s="1">
        <v>120.8679185</v>
      </c>
      <c r="F615" s="1" t="s">
        <v>1753</v>
      </c>
      <c r="G615" s="3" t="str">
        <f>IFERROR(__xludf.DUMMYFUNCTION("IF(REGEXMATCH(F615, ""(?:.*,\s*)?([^,]+),\s*([^,]+),\s*Philippines.*""), TRIM(REGEXREPLACE(REGEXREPLACE(F615, ""(?:.*,\s*)?([^,]+),\s*([^,]+),\s*Philippines.*"", ""$1, $2""), ""\d+"", """")), """")"),"Trece Martires City, Cavite")</f>
        <v>Trece Martires City, Cavite</v>
      </c>
    </row>
    <row r="616">
      <c r="A616" s="1" t="s">
        <v>1754</v>
      </c>
      <c r="C616" s="1" t="s">
        <v>9</v>
      </c>
      <c r="D616" s="1">
        <v>14.3655936</v>
      </c>
      <c r="E616" s="1">
        <v>121.4799873</v>
      </c>
      <c r="F616" s="1" t="s">
        <v>1755</v>
      </c>
      <c r="G616" s="3" t="str">
        <f>IFERROR(__xludf.DUMMYFUNCTION("IF(REGEXMATCH(F616, ""(?:.*,\s*)?([^,]+),\s*([^,]+),\s*Philippines.*""), TRIM(REGEXREPLACE(REGEXREPLACE(F616, ""(?:.*,\s*)?([^,]+),\s*([^,]+),\s*Philippines.*"", ""$1, $2""), ""\d+"", """")), """")"),"Paete, Laguna")</f>
        <v>Paete, Laguna</v>
      </c>
    </row>
    <row r="617">
      <c r="A617" s="1" t="s">
        <v>1756</v>
      </c>
      <c r="B617" s="1" t="s">
        <v>1757</v>
      </c>
      <c r="C617" s="1" t="s">
        <v>13</v>
      </c>
      <c r="D617" s="1">
        <v>14.0251056</v>
      </c>
      <c r="E617" s="1">
        <v>121.5865876</v>
      </c>
      <c r="F617" s="1" t="s">
        <v>1758</v>
      </c>
      <c r="G617" s="3" t="str">
        <f>IFERROR(__xludf.DUMMYFUNCTION("IF(REGEXMATCH(F617, ""(?:.*,\s*)?([^,]+),\s*([^,]+),\s*Philippines.*""), TRIM(REGEXREPLACE(REGEXREPLACE(F617, ""(?:.*,\s*)?([^,]+),\s*([^,]+),\s*Philippines.*"", ""$1, $2""), ""\d+"", """")), """")"),"City of Tayabas, Quezon")</f>
        <v>City of Tayabas, Quezon</v>
      </c>
    </row>
    <row r="618">
      <c r="A618" s="1" t="s">
        <v>1759</v>
      </c>
      <c r="B618" s="1" t="s">
        <v>1760</v>
      </c>
      <c r="C618" s="1" t="s">
        <v>9</v>
      </c>
      <c r="D618" s="1">
        <v>14.3387608</v>
      </c>
      <c r="E618" s="1">
        <v>120.8821493</v>
      </c>
      <c r="F618" s="1" t="s">
        <v>1761</v>
      </c>
      <c r="G618" s="3" t="str">
        <f>IFERROR(__xludf.DUMMYFUNCTION("IF(REGEXMATCH(F618, ""(?:.*,\s*)?([^,]+),\s*([^,]+),\s*Philippines.*""), TRIM(REGEXREPLACE(REGEXREPLACE(F618, ""(?:.*,\s*)?([^,]+),\s*([^,]+),\s*Philippines.*"", ""$1, $2""), ""\d+"", """")), """")"),"General Trias, Cavite")</f>
        <v>General Trias, Cavite</v>
      </c>
    </row>
    <row r="619">
      <c r="A619" s="1" t="s">
        <v>1762</v>
      </c>
      <c r="B619" s="1" t="s">
        <v>1763</v>
      </c>
      <c r="C619" s="1" t="s">
        <v>9</v>
      </c>
      <c r="D619" s="1">
        <v>14.276916</v>
      </c>
      <c r="E619" s="1">
        <v>120.9163779</v>
      </c>
      <c r="F619" s="1" t="s">
        <v>1764</v>
      </c>
      <c r="G619" s="3" t="str">
        <f>IFERROR(__xludf.DUMMYFUNCTION("IF(REGEXMATCH(F619, ""(?:.*,\s*)?([^,]+),\s*([^,]+),\s*Philippines.*""), TRIM(REGEXREPLACE(REGEXREPLACE(F619, ""(?:.*,\s*)?([^,]+),\s*([^,]+),\s*Philippines.*"", ""$1, $2""), ""\d+"", """")), """")"),"General Trias, Cavite")</f>
        <v>General Trias, Cavite</v>
      </c>
    </row>
    <row r="620">
      <c r="A620" s="1" t="s">
        <v>1765</v>
      </c>
      <c r="B620" s="1" t="s">
        <v>1766</v>
      </c>
      <c r="C620" s="1" t="s">
        <v>13</v>
      </c>
      <c r="D620" s="1">
        <v>14.1849742</v>
      </c>
      <c r="E620" s="1">
        <v>121.5151678</v>
      </c>
      <c r="F620" s="1" t="s">
        <v>1767</v>
      </c>
      <c r="G620" s="3" t="str">
        <f>IFERROR(__xludf.DUMMYFUNCTION("IF(REGEXMATCH(F620, ""(?:.*,\s*)?([^,]+),\s*([^,]+),\s*Philippines.*""), TRIM(REGEXREPLACE(REGEXREPLACE(F620, ""(?:.*,\s*)?([^,]+),\s*([^,]+),\s*Philippines.*"", ""$1, $2""), ""\d+"", """")), """")"),"Luisiana, Laguna")</f>
        <v>Luisiana, Laguna</v>
      </c>
    </row>
    <row r="621">
      <c r="A621" s="1" t="s">
        <v>1768</v>
      </c>
      <c r="B621" s="1" t="s">
        <v>1769</v>
      </c>
      <c r="C621" s="1" t="s">
        <v>13</v>
      </c>
      <c r="D621" s="1">
        <v>14.1622369</v>
      </c>
      <c r="E621" s="1">
        <v>120.8602011</v>
      </c>
      <c r="F621" s="1" t="s">
        <v>1770</v>
      </c>
      <c r="G621" s="3" t="str">
        <f>IFERROR(__xludf.DUMMYFUNCTION("IF(REGEXMATCH(F621, ""(?:.*,\s*)?([^,]+),\s*([^,]+),\s*Philippines.*""), TRIM(REGEXREPLACE(REGEXREPLACE(F621, ""(?:.*,\s*)?([^,]+),\s*([^,]+),\s*Philippines.*"", ""$1, $2""), ""\d+"", """")), """")"),"Lumampong Halayhay, Cavite")</f>
        <v>Lumampong Halayhay, Cavite</v>
      </c>
    </row>
    <row r="622">
      <c r="A622" s="1" t="s">
        <v>1771</v>
      </c>
      <c r="B622" s="1" t="s">
        <v>1772</v>
      </c>
      <c r="C622" s="1" t="s">
        <v>13</v>
      </c>
      <c r="D622" s="1">
        <v>13.801282</v>
      </c>
      <c r="E622" s="1">
        <v>121.4364609</v>
      </c>
      <c r="F622" s="1" t="s">
        <v>1773</v>
      </c>
      <c r="G622" s="3" t="str">
        <f>IFERROR(__xludf.DUMMYFUNCTION("IF(REGEXMATCH(F622, ""(?:.*,\s*)?([^,]+),\s*([^,]+),\s*Philippines.*""), TRIM(REGEXREPLACE(REGEXREPLACE(F622, ""(?:.*,\s*)?([^,]+),\s*([^,]+),\s*Philippines.*"", ""$1, $2""), ""\d+"", """")), """")"),"San Juan, Batangas")</f>
        <v>San Juan, Batangas</v>
      </c>
    </row>
    <row r="623">
      <c r="A623" s="1" t="s">
        <v>1774</v>
      </c>
      <c r="B623" s="1" t="s">
        <v>344</v>
      </c>
      <c r="C623" s="1" t="s">
        <v>9</v>
      </c>
      <c r="D623" s="1">
        <v>14.3045764</v>
      </c>
      <c r="E623" s="1">
        <v>121.4590562</v>
      </c>
      <c r="F623" s="1" t="s">
        <v>1775</v>
      </c>
      <c r="G623" s="3" t="str">
        <f>IFERROR(__xludf.DUMMYFUNCTION("IF(REGEXMATCH(F623, ""(?:.*,\s*)?([^,]+),\s*([^,]+),\s*Philippines.*""), TRIM(REGEXREPLACE(REGEXREPLACE(F623, ""(?:.*,\s*)?([^,]+),\s*([^,]+),\s*Philippines.*"", ""$1, $2""), ""\d+"", """")), """")"),"Lumban, Laguna")</f>
        <v>Lumban, Laguna</v>
      </c>
    </row>
    <row r="624">
      <c r="A624" s="1" t="s">
        <v>1776</v>
      </c>
      <c r="B624" s="1" t="s">
        <v>1777</v>
      </c>
      <c r="C624" s="1" t="s">
        <v>13</v>
      </c>
      <c r="D624" s="1">
        <v>13.9799345</v>
      </c>
      <c r="E624" s="1">
        <v>121.2031211</v>
      </c>
      <c r="F624" s="1" t="s">
        <v>1778</v>
      </c>
      <c r="G624" s="3" t="str">
        <f>IFERROR(__xludf.DUMMYFUNCTION("IF(REGEXMATCH(F624, ""(?:.*,\s*)?([^,]+),\s*([^,]+),\s*Philippines.*""), TRIM(REGEXREPLACE(REGEXREPLACE(F624, ""(?:.*,\s*)?([^,]+),\s*([^,]+),\s*Philippines.*"", ""$1, $2""), ""\d+"", """")), """")"),"Lipa City, Batangas")</f>
        <v>Lipa City, Batangas</v>
      </c>
    </row>
    <row r="625">
      <c r="A625" s="1" t="s">
        <v>1779</v>
      </c>
      <c r="B625" s="1" t="s">
        <v>1780</v>
      </c>
      <c r="C625" s="1" t="s">
        <v>13</v>
      </c>
      <c r="D625" s="1">
        <v>14.1791619</v>
      </c>
      <c r="E625" s="1">
        <v>121.0066896</v>
      </c>
      <c r="F625" s="1" t="s">
        <v>1781</v>
      </c>
      <c r="G625" s="3" t="str">
        <f>IFERROR(__xludf.DUMMYFUNCTION("IF(REGEXMATCH(F625, ""(?:.*,\s*)?([^,]+),\s*([^,]+),\s*Philippines.*""), TRIM(REGEXREPLACE(REGEXREPLACE(F625, ""(?:.*,\s*)?([^,]+),\s*([^,]+),\s*Philippines.*"", ""$1, $2""), ""\d+"", """")), """")"),"Silang, Cavite")</f>
        <v>Silang, Cavite</v>
      </c>
    </row>
    <row r="626">
      <c r="A626" s="1" t="s">
        <v>1782</v>
      </c>
      <c r="B626" s="1" t="s">
        <v>1783</v>
      </c>
      <c r="C626" s="1" t="s">
        <v>13</v>
      </c>
      <c r="D626" s="1">
        <v>13.9581498</v>
      </c>
      <c r="E626" s="1">
        <v>121.3484044</v>
      </c>
      <c r="F626" s="1" t="s">
        <v>1784</v>
      </c>
      <c r="G626" s="3" t="str">
        <f>IFERROR(__xludf.DUMMYFUNCTION("IF(REGEXMATCH(F626, ""(?:.*,\s*)?([^,]+),\s*([^,]+),\s*Philippines.*""), TRIM(REGEXREPLACE(REGEXREPLACE(F626, ""(?:.*,\s*)?([^,]+),\s*([^,]+),\s*Philippines.*"", ""$1, $2""), ""\d+"", """")), """")"),"Tiaong, Quezon")</f>
        <v>Tiaong, Quezon</v>
      </c>
    </row>
    <row r="627">
      <c r="A627" s="1" t="s">
        <v>1785</v>
      </c>
      <c r="B627" s="1" t="s">
        <v>1786</v>
      </c>
      <c r="C627" s="1" t="s">
        <v>13</v>
      </c>
      <c r="D627" s="1">
        <v>13.907547</v>
      </c>
      <c r="E627" s="1">
        <v>121.4914251</v>
      </c>
      <c r="F627" s="1" t="s">
        <v>1787</v>
      </c>
      <c r="G627" s="3" t="str">
        <f>IFERROR(__xludf.DUMMYFUNCTION("IF(REGEXMATCH(F627, ""(?:.*,\s*)?([^,]+),\s*([^,]+),\s*Philippines.*""), TRIM(REGEXREPLACE(REGEXREPLACE(F627, ""(?:.*,\s*)?([^,]+),\s*([^,]+),\s*Philippines.*"", ""$1, $2""), ""\d+"", """")), """")"),"Sariaya, Quezon")</f>
        <v>Sariaya, Quezon</v>
      </c>
    </row>
    <row r="628">
      <c r="A628" s="1" t="s">
        <v>1788</v>
      </c>
      <c r="B628" s="1" t="s">
        <v>1711</v>
      </c>
      <c r="C628" s="1" t="s">
        <v>9</v>
      </c>
      <c r="D628" s="1">
        <v>15.9514259</v>
      </c>
      <c r="E628" s="1">
        <v>120.9769786</v>
      </c>
      <c r="F628" s="1" t="s">
        <v>1789</v>
      </c>
      <c r="G628" s="3" t="str">
        <f>IFERROR(__xludf.DUMMYFUNCTION("IF(REGEXMATCH(F628, ""(?:.*,\s*)?([^,]+),\s*([^,]+),\s*Philippines.*""), TRIM(REGEXREPLACE(REGEXREPLACE(F628, ""(?:.*,\s*)?([^,]+),\s*([^,]+),\s*Philippines.*"", ""$1, $2""), ""\d+"", """")), """")"),"Carranglan, Nueva Ecija")</f>
        <v>Carranglan, Nueva Ecija</v>
      </c>
    </row>
    <row r="629">
      <c r="A629" s="1" t="s">
        <v>1790</v>
      </c>
      <c r="B629" s="1" t="s">
        <v>1791</v>
      </c>
      <c r="C629" s="1" t="s">
        <v>9</v>
      </c>
      <c r="D629" s="1">
        <v>14.0578669</v>
      </c>
      <c r="E629" s="1">
        <v>121.3240466</v>
      </c>
      <c r="F629" s="1" t="s">
        <v>1792</v>
      </c>
      <c r="G629" s="3" t="str">
        <f>IFERROR(__xludf.DUMMYFUNCTION("IF(REGEXMATCH(F629, ""(?:.*,\s*)?([^,]+),\s*([^,]+),\s*Philippines.*""), TRIM(REGEXREPLACE(REGEXREPLACE(F629, ""(?:.*,\s*)?([^,]+),\s*([^,]+),\s*Philippines.*"", ""$1, $2""), ""\d+"", """")), """")"),"San Pablo City, Laguna")</f>
        <v>San Pablo City, Laguna</v>
      </c>
    </row>
    <row r="630">
      <c r="A630" s="1" t="s">
        <v>1793</v>
      </c>
      <c r="B630" s="1" t="s">
        <v>1794</v>
      </c>
      <c r="C630" s="1" t="s">
        <v>9</v>
      </c>
      <c r="D630" s="1">
        <v>14.5462133</v>
      </c>
      <c r="E630" s="1">
        <v>121.1910819</v>
      </c>
      <c r="F630" s="1" t="s">
        <v>1795</v>
      </c>
      <c r="G630" s="3" t="str">
        <f>IFERROR(__xludf.DUMMYFUNCTION("IF(REGEXMATCH(F630, ""(?:.*,\s*)?([^,]+),\s*([^,]+),\s*Philippines.*""), TRIM(REGEXREPLACE(REGEXREPLACE(F630, ""(?:.*,\s*)?([^,]+),\s*([^,]+),\s*Philippines.*"", ""$1, $2""), ""\d+"", """")), """")"),"Angono, Rizal")</f>
        <v>Angono, Rizal</v>
      </c>
    </row>
    <row r="631">
      <c r="A631" s="1" t="s">
        <v>1796</v>
      </c>
      <c r="B631" s="1" t="s">
        <v>1797</v>
      </c>
      <c r="C631" s="1" t="s">
        <v>9</v>
      </c>
      <c r="D631" s="1">
        <v>14.296364</v>
      </c>
      <c r="E631" s="1">
        <v>121.1197676</v>
      </c>
      <c r="F631" s="1" t="s">
        <v>1798</v>
      </c>
      <c r="G631" s="3" t="str">
        <f>IFERROR(__xludf.DUMMYFUNCTION("IF(REGEXMATCH(F631, ""(?:.*,\s*)?([^,]+),\s*([^,]+),\s*Philippines.*""), TRIM(REGEXREPLACE(REGEXREPLACE(F631, ""(?:.*,\s*)?([^,]+),\s*([^,]+),\s*Philippines.*"", ""$1, $2""), ""\d+"", """")), """")"),"City of Santa Rosa, Laguna")</f>
        <v>City of Santa Rosa, Laguna</v>
      </c>
    </row>
    <row r="632">
      <c r="A632" s="1" t="s">
        <v>1799</v>
      </c>
      <c r="B632" s="1" t="s">
        <v>1800</v>
      </c>
      <c r="C632" s="1" t="s">
        <v>9</v>
      </c>
      <c r="D632" s="1">
        <v>14.3475183</v>
      </c>
      <c r="E632" s="1">
        <v>121.0592914</v>
      </c>
      <c r="F632" s="1" t="s">
        <v>1801</v>
      </c>
      <c r="G632" s="3" t="str">
        <f>IFERROR(__xludf.DUMMYFUNCTION("IF(REGEXMATCH(F632, ""(?:.*,\s*)?([^,]+),\s*([^,]+),\s*Philippines.*""), TRIM(REGEXREPLACE(REGEXREPLACE(F632, ""(?:.*,\s*)?([^,]+),\s*([^,]+),\s*Philippines.*"", ""$1, $2""), ""\d+"", """")), """")"),"San Pedro, Laguna")</f>
        <v>San Pedro, Laguna</v>
      </c>
    </row>
    <row r="633">
      <c r="A633" s="1" t="s">
        <v>1802</v>
      </c>
      <c r="B633" s="1" t="s">
        <v>1803</v>
      </c>
      <c r="C633" s="1" t="s">
        <v>13</v>
      </c>
      <c r="D633" s="1">
        <v>13.9538042</v>
      </c>
      <c r="E633" s="1">
        <v>120.7291617</v>
      </c>
      <c r="F633" s="1" t="s">
        <v>1804</v>
      </c>
      <c r="G633" s="3" t="str">
        <f>IFERROR(__xludf.DUMMYFUNCTION("IF(REGEXMATCH(F633, ""(?:.*,\s*)?([^,]+),\s*([^,]+),\s*Philippines.*""), TRIM(REGEXREPLACE(REGEXREPLACE(F633, ""(?:.*,\s*)?([^,]+),\s*([^,]+),\s*Philippines.*"", ""$1, $2""), ""\d+"", """")), """")"),"Balayan, Batangas")</f>
        <v>Balayan, Batangas</v>
      </c>
    </row>
    <row r="634">
      <c r="A634" s="1" t="s">
        <v>1805</v>
      </c>
      <c r="B634" s="1" t="s">
        <v>1806</v>
      </c>
      <c r="C634" s="1" t="s">
        <v>9</v>
      </c>
      <c r="D634" s="1">
        <v>14.1815462</v>
      </c>
      <c r="E634" s="1">
        <v>122.3914214</v>
      </c>
      <c r="F634" s="1" t="s">
        <v>1807</v>
      </c>
      <c r="G634" s="3" t="str">
        <f>IFERROR(__xludf.DUMMYFUNCTION("IF(REGEXMATCH(F634, ""(?:.*,\s*)?([^,]+),\s*([^,]+),\s*Philippines.*""), TRIM(REGEXREPLACE(REGEXREPLACE(F634, ""(?:.*,\s*)?([^,]+),\s*([^,]+),\s*Philippines.*"", ""$1, $2""), ""\d+"", """")), """")"),"Santa Elena, Camarines Norte")</f>
        <v>Santa Elena, Camarines Norte</v>
      </c>
    </row>
    <row r="635">
      <c r="A635" s="1" t="s">
        <v>1808</v>
      </c>
      <c r="B635" s="1" t="s">
        <v>1809</v>
      </c>
      <c r="C635" s="1" t="s">
        <v>13</v>
      </c>
      <c r="D635" s="1">
        <v>13.7564054</v>
      </c>
      <c r="E635" s="1">
        <v>121.0583329</v>
      </c>
      <c r="F635" s="1" t="s">
        <v>1810</v>
      </c>
      <c r="G635" s="3" t="str">
        <f>IFERROR(__xludf.DUMMYFUNCTION("IF(REGEXMATCH(F635, ""(?:.*,\s*)?([^,]+),\s*([^,]+),\s*Philippines.*""), TRIM(REGEXREPLACE(REGEXREPLACE(F635, ""(?:.*,\s*)?([^,]+),\s*([^,]+),\s*Philippines.*"", ""$1, $2""), ""\d+"", """")), """")"),"Batangas City, Batangas")</f>
        <v>Batangas City, Batangas</v>
      </c>
    </row>
    <row r="636">
      <c r="A636" s="1" t="s">
        <v>1811</v>
      </c>
      <c r="B636" s="1" t="s">
        <v>1812</v>
      </c>
      <c r="C636" s="1" t="s">
        <v>13</v>
      </c>
      <c r="D636" s="1">
        <v>13.7625757</v>
      </c>
      <c r="E636" s="1">
        <v>121.0724373</v>
      </c>
      <c r="F636" s="1" t="s">
        <v>1813</v>
      </c>
      <c r="G636" s="3" t="str">
        <f>IFERROR(__xludf.DUMMYFUNCTION("IF(REGEXMATCH(F636, ""(?:.*,\s*)?([^,]+),\s*([^,]+),\s*Philippines.*""), TRIM(REGEXREPLACE(REGEXREPLACE(F636, ""(?:.*,\s*)?([^,]+),\s*([^,]+),\s*Philippines.*"", ""$1, $2""), ""\d+"", """")), """")"),"Batangas City, Batangas")</f>
        <v>Batangas City, Batangas</v>
      </c>
    </row>
    <row r="637">
      <c r="A637" s="1" t="s">
        <v>1814</v>
      </c>
      <c r="B637" s="1" t="s">
        <v>1815</v>
      </c>
      <c r="C637" s="1" t="s">
        <v>13</v>
      </c>
      <c r="D637" s="1">
        <v>14.159193</v>
      </c>
      <c r="E637" s="1">
        <v>121.137032</v>
      </c>
      <c r="F637" s="1" t="s">
        <v>1816</v>
      </c>
      <c r="G637" s="3" t="str">
        <f>IFERROR(__xludf.DUMMYFUNCTION("IF(REGEXMATCH(F637, ""(?:.*,\s*)?([^,]+),\s*([^,]+),\s*Philippines.*""), TRIM(REGEXREPLACE(REGEXREPLACE(F637, ""(?:.*,\s*)?([^,]+),\s*([^,]+),\s*Philippines.*"", ""$1, $2""), ""\d+"", """")), """")"),"Calamba, Laguna")</f>
        <v>Calamba, Laguna</v>
      </c>
    </row>
    <row r="638">
      <c r="A638" s="1" t="s">
        <v>1817</v>
      </c>
      <c r="B638" s="1" t="s">
        <v>1818</v>
      </c>
      <c r="C638" s="1" t="s">
        <v>9</v>
      </c>
      <c r="D638" s="1">
        <v>14.1585347</v>
      </c>
      <c r="E638" s="1">
        <v>121.1365987</v>
      </c>
      <c r="F638" s="1" t="s">
        <v>1819</v>
      </c>
      <c r="G638" s="3" t="str">
        <f>IFERROR(__xludf.DUMMYFUNCTION("IF(REGEXMATCH(F638, ""(?:.*,\s*)?([^,]+),\s*([^,]+),\s*Philippines.*""), TRIM(REGEXREPLACE(REGEXREPLACE(F638, ""(?:.*,\s*)?([^,]+),\s*([^,]+),\s*Philippines.*"", ""$1, $2""), ""\d+"", """")), """")"),"Calamba, Laguna")</f>
        <v>Calamba, Laguna</v>
      </c>
    </row>
    <row r="639">
      <c r="A639" s="1" t="s">
        <v>1820</v>
      </c>
      <c r="B639" s="1" t="s">
        <v>1821</v>
      </c>
      <c r="C639" s="1" t="s">
        <v>13</v>
      </c>
      <c r="D639" s="1">
        <v>14.2919154</v>
      </c>
      <c r="E639" s="1">
        <v>120.9079566</v>
      </c>
      <c r="F639" s="1" t="s">
        <v>1822</v>
      </c>
      <c r="G639" s="3" t="str">
        <f>IFERROR(__xludf.DUMMYFUNCTION("IF(REGEXMATCH(F639, ""(?:.*,\s*)?([^,]+),\s*([^,]+),\s*Philippines.*""), TRIM(REGEXREPLACE(REGEXREPLACE(F639, ""(?:.*,\s*)?([^,]+),\s*([^,]+),\s*Philippines.*"", ""$1, $2""), ""\d+"", """")), """")"),"Manggahan, Cavite")</f>
        <v>Manggahan, Cavite</v>
      </c>
    </row>
    <row r="640">
      <c r="A640" s="1" t="s">
        <v>1823</v>
      </c>
      <c r="B640" s="1" t="s">
        <v>1815</v>
      </c>
      <c r="C640" s="1" t="s">
        <v>766</v>
      </c>
      <c r="D640" s="1">
        <v>14.1406629</v>
      </c>
      <c r="E640" s="1">
        <v>121.4691774</v>
      </c>
      <c r="F640" s="1" t="s">
        <v>1824</v>
      </c>
      <c r="G640" s="3" t="str">
        <f>IFERROR(__xludf.DUMMYFUNCTION("IF(REGEXMATCH(F640, ""(?:.*,\s*)?([^,]+),\s*([^,]+),\s*Philippines.*""), TRIM(REGEXREPLACE(REGEXREPLACE(F640, ""(?:.*,\s*)?([^,]+),\s*([^,]+),\s*Philippines.*"", ""$1, $2""), ""\d+"", """")), """")"),"")</f>
        <v/>
      </c>
    </row>
    <row r="641">
      <c r="A641" s="1" t="s">
        <v>1825</v>
      </c>
      <c r="B641" s="1" t="s">
        <v>1826</v>
      </c>
      <c r="C641" s="1" t="s">
        <v>9</v>
      </c>
      <c r="D641" s="1">
        <v>13.6348081</v>
      </c>
      <c r="E641" s="1">
        <v>120.8986943</v>
      </c>
      <c r="F641" s="1" t="s">
        <v>1827</v>
      </c>
      <c r="G641" s="3" t="str">
        <f>IFERROR(__xludf.DUMMYFUNCTION("IF(REGEXMATCH(F641, ""(?:.*,\s*)?([^,]+),\s*([^,]+),\s*Philippines.*""), TRIM(REGEXREPLACE(REGEXREPLACE(F641, ""(?:.*,\s*)?([^,]+),\s*([^,]+),\s*Philippines.*"", ""$1, $2""), ""\d+"", """")), """")"),"Tingloy, Batangas")</f>
        <v>Tingloy, Batangas</v>
      </c>
    </row>
    <row r="642">
      <c r="A642" s="1" t="s">
        <v>1828</v>
      </c>
      <c r="B642" s="1" t="s">
        <v>1829</v>
      </c>
      <c r="C642" s="1" t="s">
        <v>9</v>
      </c>
      <c r="D642" s="1">
        <v>13.9518934</v>
      </c>
      <c r="E642" s="1">
        <v>121.3464075</v>
      </c>
      <c r="F642" s="1" t="s">
        <v>1830</v>
      </c>
      <c r="G642" s="3" t="str">
        <f>IFERROR(__xludf.DUMMYFUNCTION("IF(REGEXMATCH(F642, ""(?:.*,\s*)?([^,]+),\s*([^,]+),\s*Philippines.*""), TRIM(REGEXREPLACE(REGEXREPLACE(F642, ""(?:.*,\s*)?([^,]+),\s*([^,]+),\s*Philippines.*"", ""$1, $2""), ""\d+"", """")), """")"),"Tiaong, Quezon")</f>
        <v>Tiaong, Quezon</v>
      </c>
    </row>
    <row r="643">
      <c r="A643" s="1" t="s">
        <v>1831</v>
      </c>
      <c r="B643" s="1" t="s">
        <v>1832</v>
      </c>
      <c r="C643" s="1" t="s">
        <v>13</v>
      </c>
      <c r="D643" s="1">
        <v>14.1599615</v>
      </c>
      <c r="E643" s="1">
        <v>121.6366835</v>
      </c>
      <c r="F643" s="1" t="s">
        <v>1833</v>
      </c>
      <c r="G643" s="3" t="str">
        <f>IFERROR(__xludf.DUMMYFUNCTION("IF(REGEXMATCH(F643, ""(?:.*,\s*)?([^,]+),\s*([^,]+),\s*Philippines.*""), TRIM(REGEXREPLACE(REGEXREPLACE(F643, ""(?:.*,\s*)?([^,]+),\s*([^,]+),\s*Philippines.*"", ""$1, $2""), ""\d+"", """")), """")"),"Sampaloc, Quezon")</f>
        <v>Sampaloc, Quezon</v>
      </c>
    </row>
    <row r="644">
      <c r="A644" s="1" t="s">
        <v>1834</v>
      </c>
      <c r="B644" s="1" t="s">
        <v>1835</v>
      </c>
      <c r="C644" s="1" t="s">
        <v>13</v>
      </c>
      <c r="D644" s="1">
        <v>13.9100373</v>
      </c>
      <c r="E644" s="1">
        <v>120.9655194</v>
      </c>
      <c r="F644" s="1" t="s">
        <v>1836</v>
      </c>
      <c r="G644" s="3" t="str">
        <f>IFERROR(__xludf.DUMMYFUNCTION("IF(REGEXMATCH(F644, ""(?:.*,\s*)?([^,]+),\s*([^,]+),\s*Philippines.*""), TRIM(REGEXREPLACE(REGEXREPLACE(F644, ""(?:.*,\s*)?([^,]+),\s*([^,]+),\s*Philippines.*"", ""$1, $2""), ""\d+"", """")), """")"),"San Nicolas, Batangas")</f>
        <v>San Nicolas, Batangas</v>
      </c>
    </row>
    <row r="645">
      <c r="A645" s="1" t="s">
        <v>1837</v>
      </c>
      <c r="B645" s="1" t="s">
        <v>1838</v>
      </c>
      <c r="C645" s="1" t="s">
        <v>13</v>
      </c>
      <c r="D645" s="1">
        <v>14.1575584</v>
      </c>
      <c r="E645" s="1">
        <v>121.038401</v>
      </c>
      <c r="F645" s="1" t="s">
        <v>1839</v>
      </c>
      <c r="G645" s="3" t="str">
        <f>IFERROR(__xludf.DUMMYFUNCTION("IF(REGEXMATCH(F645, ""(?:.*,\s*)?([^,]+),\s*([^,]+),\s*Philippines.*""), TRIM(REGEXREPLACE(REGEXREPLACE(F645, ""(?:.*,\s*)?([^,]+),\s*([^,]+),\s*Philippines.*"", ""$1, $2""), ""\d+"", """")), """")"),"Calamba, Laguna")</f>
        <v>Calamba, Laguna</v>
      </c>
    </row>
    <row r="646">
      <c r="A646" s="1" t="s">
        <v>1840</v>
      </c>
      <c r="B646" s="1" t="s">
        <v>1841</v>
      </c>
      <c r="C646" s="1" t="s">
        <v>13</v>
      </c>
      <c r="D646" s="1">
        <v>13.7484515</v>
      </c>
      <c r="E646" s="1">
        <v>120.9413086</v>
      </c>
      <c r="F646" s="1" t="s">
        <v>1842</v>
      </c>
      <c r="G646" s="3" t="str">
        <f>IFERROR(__xludf.DUMMYFUNCTION("IF(REGEXMATCH(F646, ""(?:.*,\s*)?([^,]+),\s*([^,]+),\s*Philippines.*""), TRIM(REGEXREPLACE(REGEXREPLACE(F646, ""(?:.*,\s*)?([^,]+),\s*([^,]+),\s*Philippines.*"", ""$1, $2""), ""\d+"", """")), """")"),"Mabini, Batangas")</f>
        <v>Mabini, Batangas</v>
      </c>
    </row>
    <row r="647">
      <c r="A647" s="1" t="s">
        <v>1843</v>
      </c>
      <c r="B647" s="1" t="s">
        <v>1844</v>
      </c>
      <c r="C647" s="1" t="s">
        <v>13</v>
      </c>
      <c r="D647" s="1">
        <v>14.4267568</v>
      </c>
      <c r="E647" s="1">
        <v>121.4279442</v>
      </c>
      <c r="F647" s="1" t="s">
        <v>1845</v>
      </c>
      <c r="G647" s="3" t="str">
        <f>IFERROR(__xludf.DUMMYFUNCTION("IF(REGEXMATCH(F647, ""(?:.*,\s*)?([^,]+),\s*([^,]+),\s*Philippines.*""), TRIM(REGEXREPLACE(REGEXREPLACE(F647, ""(?:.*,\s*)?([^,]+),\s*([^,]+),\s*Philippines.*"", ""$1, $2""), ""\d+"", """")), """")"),"Mabitac, Laguna")</f>
        <v>Mabitac, Laguna</v>
      </c>
    </row>
    <row r="648">
      <c r="A648" s="1" t="s">
        <v>1846</v>
      </c>
      <c r="B648" s="1" t="s">
        <v>1847</v>
      </c>
      <c r="C648" s="1" t="s">
        <v>13</v>
      </c>
      <c r="D648" s="1">
        <v>13.7478763</v>
      </c>
      <c r="E648" s="1">
        <v>122.1364163</v>
      </c>
      <c r="F648" s="1" t="s">
        <v>1848</v>
      </c>
      <c r="G648" s="3" t="str">
        <f>IFERROR(__xludf.DUMMYFUNCTION("IF(REGEXMATCH(F648, ""(?:.*,\s*)?([^,]+),\s*([^,]+),\s*Philippines.*""), TRIM(REGEXREPLACE(REGEXREPLACE(F648, ""(?:.*,\s*)?([^,]+),\s*([^,]+),\s*Philippines.*"", ""$1, $2""), ""\d+"", """")), """")"),"Macalelon, Quezon")</f>
        <v>Macalelon, Quezon</v>
      </c>
    </row>
    <row r="649">
      <c r="A649" s="1" t="s">
        <v>1849</v>
      </c>
      <c r="B649" s="1" t="s">
        <v>525</v>
      </c>
      <c r="C649" s="1" t="s">
        <v>9</v>
      </c>
      <c r="D649" s="1">
        <v>14.1554521</v>
      </c>
      <c r="E649" s="1">
        <v>120.7704835</v>
      </c>
      <c r="F649" s="1" t="s">
        <v>1850</v>
      </c>
      <c r="G649" s="3" t="str">
        <f>IFERROR(__xludf.DUMMYFUNCTION("IF(REGEXMATCH(F649, ""(?:.*,\s*)?([^,]+),\s*([^,]+),\s*Philippines.*""), TRIM(REGEXREPLACE(REGEXREPLACE(F649, ""(?:.*,\s*)?([^,]+),\s*([^,]+),\s*Philippines.*"", ""$1, $2""), ""\d+"", """")), """")"),"Magallanes, Cavite")</f>
        <v>Magallanes, Cavite</v>
      </c>
    </row>
    <row r="650">
      <c r="A650" s="1" t="s">
        <v>1851</v>
      </c>
      <c r="B650" s="1" t="s">
        <v>1852</v>
      </c>
      <c r="C650" s="1" t="s">
        <v>13</v>
      </c>
      <c r="D650" s="1">
        <v>14.158284</v>
      </c>
      <c r="E650" s="1">
        <v>120.7464897</v>
      </c>
      <c r="F650" s="1" t="s">
        <v>1853</v>
      </c>
      <c r="G650" s="3" t="str">
        <f>IFERROR(__xludf.DUMMYFUNCTION("IF(REGEXMATCH(F650, ""(?:.*,\s*)?([^,]+),\s*([^,]+),\s*Philippines.*""), TRIM(REGEXREPLACE(REGEXREPLACE(F650, ""(?:.*,\s*)?([^,]+),\s*([^,]+),\s*Philippines.*"", ""$1, $2""), ""\d+"", """")), """")"),"Magallanes, Cavite")</f>
        <v>Magallanes, Cavite</v>
      </c>
    </row>
    <row r="651">
      <c r="A651" s="1" t="s">
        <v>1854</v>
      </c>
      <c r="B651" s="1" t="s">
        <v>1855</v>
      </c>
      <c r="C651" s="1" t="s">
        <v>13</v>
      </c>
      <c r="D651" s="1">
        <v>14.1975136</v>
      </c>
      <c r="E651" s="1">
        <v>121.4290304</v>
      </c>
      <c r="F651" s="1" t="s">
        <v>1856</v>
      </c>
      <c r="G651" s="3" t="str">
        <f>IFERROR(__xludf.DUMMYFUNCTION("IF(REGEXMATCH(F651, ""(?:.*,\s*)?([^,]+),\s*([^,]+),\s*Philippines.*""), TRIM(REGEXREPLACE(REGEXREPLACE(F651, ""(?:.*,\s*)?([^,]+),\s*([^,]+),\s*Philippines.*"", ""$1, $2""), ""\d+"", """")), """")"),"Magdalena, Laguna")</f>
        <v>Magdalena, Laguna</v>
      </c>
    </row>
    <row r="652">
      <c r="A652" s="1" t="s">
        <v>1857</v>
      </c>
      <c r="B652" s="1" t="s">
        <v>1858</v>
      </c>
      <c r="C652" s="1" t="s">
        <v>9</v>
      </c>
      <c r="D652" s="1">
        <v>14.240374</v>
      </c>
      <c r="E652" s="1">
        <v>121.0627372</v>
      </c>
      <c r="F652" s="1" t="s">
        <v>1859</v>
      </c>
      <c r="G652" s="3" t="str">
        <f>IFERROR(__xludf.DUMMYFUNCTION("IF(REGEXMATCH(F652, ""(?:.*,\s*)?([^,]+),\s*([^,]+),\s*Philippines.*""), TRIM(REGEXREPLACE(REGEXREPLACE(F652, ""(?:.*,\s*)?([^,]+),\s*([^,]+),\s*Philippines.*"", ""$1, $2""), ""\d+"", """")), """")"),"City of Santa Rosa, Laguna")</f>
        <v>City of Santa Rosa, Laguna</v>
      </c>
    </row>
    <row r="653">
      <c r="A653" s="1" t="s">
        <v>1860</v>
      </c>
      <c r="B653" s="1" t="s">
        <v>1861</v>
      </c>
      <c r="C653" s="1" t="s">
        <v>13</v>
      </c>
      <c r="D653" s="1">
        <v>6.752709</v>
      </c>
      <c r="E653" s="1">
        <v>125.1522083</v>
      </c>
      <c r="F653" s="1" t="s">
        <v>1862</v>
      </c>
      <c r="G653" s="3" t="str">
        <f>IFERROR(__xludf.DUMMYFUNCTION("IF(REGEXMATCH(F653, ""(?:.*,\s*)?([^,]+),\s*([^,]+),\s*Philippines.*""), TRIM(REGEXREPLACE(REGEXREPLACE(F653, ""(?:.*,\s*)?([^,]+),\s*([^,]+),\s*Philippines.*"", ""$1, $2""), ""\d+"", """")), """")"),"Magsaysay, Davao del Sur")</f>
        <v>Magsaysay, Davao del Sur</v>
      </c>
    </row>
    <row r="654">
      <c r="A654" s="1" t="s">
        <v>1863</v>
      </c>
      <c r="B654" s="1" t="s">
        <v>1864</v>
      </c>
      <c r="C654" s="1" t="s">
        <v>9</v>
      </c>
      <c r="D654" s="1">
        <v>13.7105367</v>
      </c>
      <c r="E654" s="1">
        <v>121.0928803</v>
      </c>
      <c r="F654" s="1" t="s">
        <v>1865</v>
      </c>
      <c r="G654" s="3" t="str">
        <f>IFERROR(__xludf.DUMMYFUNCTION("IF(REGEXMATCH(F654, ""(?:.*,\s*)?([^,]+),\s*([^,]+),\s*Philippines.*""), TRIM(REGEXREPLACE(REGEXREPLACE(F654, ""(?:.*,\s*)?([^,]+),\s*([^,]+),\s*Philippines.*"", ""$1, $2""), ""\d+"", """")), """")"),"Batangas City, Batangas")</f>
        <v>Batangas City, Batangas</v>
      </c>
    </row>
    <row r="655">
      <c r="A655" s="1" t="s">
        <v>1866</v>
      </c>
      <c r="B655" s="1" t="s">
        <v>1867</v>
      </c>
      <c r="C655" s="1" t="s">
        <v>13</v>
      </c>
      <c r="D655" s="1">
        <v>14.188967</v>
      </c>
      <c r="E655" s="1">
        <v>121.0906337</v>
      </c>
      <c r="F655" s="1" t="s">
        <v>1868</v>
      </c>
      <c r="G655" s="3" t="str">
        <f>IFERROR(__xludf.DUMMYFUNCTION("IF(REGEXMATCH(F655, ""(?:.*,\s*)?([^,]+),\s*([^,]+),\s*Philippines.*""), TRIM(REGEXREPLACE(REGEXREPLACE(F655, ""(?:.*,\s*)?([^,]+),\s*([^,]+),\s*Philippines.*"", ""$1, $2""), ""\d+"", """")), """")"),"Calamba, Laguna")</f>
        <v>Calamba, Laguna</v>
      </c>
    </row>
    <row r="656">
      <c r="A656" s="1" t="s">
        <v>1869</v>
      </c>
      <c r="B656" s="1" t="s">
        <v>1870</v>
      </c>
      <c r="C656" s="1" t="s">
        <v>13</v>
      </c>
      <c r="D656" s="1">
        <v>14.1542512</v>
      </c>
      <c r="E656" s="1">
        <v>121.1375606</v>
      </c>
      <c r="F656" s="1" t="s">
        <v>1871</v>
      </c>
      <c r="G656" s="3" t="str">
        <f>IFERROR(__xludf.DUMMYFUNCTION("IF(REGEXMATCH(F656, ""(?:.*,\s*)?([^,]+),\s*([^,]+),\s*Philippines.*""), TRIM(REGEXREPLACE(REGEXREPLACE(F656, ""(?:.*,\s*)?([^,]+),\s*([^,]+),\s*Philippines.*"", ""$1, $2""), ""\d+"", """")), """")"),"Calamba, Laguna")</f>
        <v>Calamba, Laguna</v>
      </c>
    </row>
    <row r="657">
      <c r="A657" s="1" t="s">
        <v>1872</v>
      </c>
      <c r="B657" s="1" t="s">
        <v>1873</v>
      </c>
      <c r="C657" s="1" t="s">
        <v>13</v>
      </c>
      <c r="D657" s="1">
        <v>14.399502</v>
      </c>
      <c r="E657" s="1">
        <v>121.339887</v>
      </c>
      <c r="F657" s="1" t="s">
        <v>1874</v>
      </c>
      <c r="G657" s="3" t="str">
        <f>IFERROR(__xludf.DUMMYFUNCTION("IF(REGEXMATCH(F657, ""(?:.*,\s*)?([^,]+),\s*([^,]+),\s*Philippines.*""), TRIM(REGEXREPLACE(REGEXREPLACE(F657, ""(?:.*,\s*)?([^,]+),\s*([^,]+),\s*Philippines.*"", ""$1, $2""), ""\d+"", """")), """")"),"Pililla, Rizal")</f>
        <v>Pililla, Rizal</v>
      </c>
    </row>
    <row r="658">
      <c r="A658" s="1" t="s">
        <v>1875</v>
      </c>
      <c r="B658" s="1" t="s">
        <v>1876</v>
      </c>
      <c r="C658" s="1" t="s">
        <v>13</v>
      </c>
      <c r="D658" s="1">
        <v>13.2198353</v>
      </c>
      <c r="E658" s="1">
        <v>121.2769423</v>
      </c>
      <c r="F658" s="1" t="s">
        <v>1877</v>
      </c>
      <c r="G658" s="3" t="str">
        <f>IFERROR(__xludf.DUMMYFUNCTION("IF(REGEXMATCH(F658, ""(?:.*,\s*)?([^,]+),\s*([^,]+),\s*Philippines.*""), TRIM(REGEXREPLACE(REGEXREPLACE(F658, ""(?:.*,\s*)?([^,]+),\s*([^,]+),\s*Philippines.*"", ""$1, $2""), ""\d+"", """")), """")"),"Naujan, Oriental Mindoro")</f>
        <v>Naujan, Oriental Mindoro</v>
      </c>
    </row>
    <row r="659">
      <c r="A659" s="1" t="s">
        <v>1878</v>
      </c>
      <c r="B659" s="1" t="s">
        <v>1879</v>
      </c>
      <c r="C659" s="1" t="s">
        <v>9</v>
      </c>
      <c r="D659" s="1">
        <v>14.2431864</v>
      </c>
      <c r="E659" s="1">
        <v>121.1136126</v>
      </c>
      <c r="F659" s="1" t="s">
        <v>1880</v>
      </c>
      <c r="G659" s="3" t="str">
        <f>IFERROR(__xludf.DUMMYFUNCTION("IF(REGEXMATCH(F659, ""(?:.*,\s*)?([^,]+),\s*([^,]+),\s*Philippines.*""), TRIM(REGEXREPLACE(REGEXREPLACE(F659, ""(?:.*,\s*)?([^,]+),\s*([^,]+),\s*Philippines.*"", ""$1, $2""), ""\d+"", """")), """")"),"Cabuyao City, Laguna")</f>
        <v>Cabuyao City, Laguna</v>
      </c>
    </row>
    <row r="660">
      <c r="A660" s="1" t="s">
        <v>1881</v>
      </c>
      <c r="B660" s="1" t="s">
        <v>1882</v>
      </c>
      <c r="C660" s="1" t="s">
        <v>13</v>
      </c>
      <c r="D660" s="1">
        <v>15.3092837</v>
      </c>
      <c r="E660" s="1">
        <v>120.9077783</v>
      </c>
      <c r="F660" s="1" t="s">
        <v>1883</v>
      </c>
      <c r="G660" s="3" t="str">
        <f>IFERROR(__xludf.DUMMYFUNCTION("IF(REGEXMATCH(F660, ""(?:.*,\s*)?([^,]+),\s*([^,]+),\s*Philippines.*""), TRIM(REGEXREPLACE(REGEXREPLACE(F660, ""(?:.*,\s*)?([^,]+),\s*([^,]+),\s*Philippines.*"", ""$1, $2""), ""\d+"", """")), """")"),"San Isidro, Nueva Ecija")</f>
        <v>San Isidro, Nueva Ecija</v>
      </c>
    </row>
    <row r="661">
      <c r="A661" s="1" t="s">
        <v>1884</v>
      </c>
      <c r="B661" s="1" t="s">
        <v>1885</v>
      </c>
      <c r="C661" s="1" t="s">
        <v>13</v>
      </c>
      <c r="D661" s="1">
        <v>11.1728332</v>
      </c>
      <c r="E661" s="1">
        <v>119.3903595</v>
      </c>
      <c r="F661" s="1" t="s">
        <v>1886</v>
      </c>
      <c r="G661" s="3" t="str">
        <f>IFERROR(__xludf.DUMMYFUNCTION("IF(REGEXMATCH(F661, ""(?:.*,\s*)?([^,]+),\s*([^,]+),\s*Philippines.*""), TRIM(REGEXREPLACE(REGEXREPLACE(F661, ""(?:.*,\s*)?([^,]+),\s*([^,]+),\s*Philippines.*"", ""$1, $2""), ""\d+"", """")), """")"),"El Nido, Palawan")</f>
        <v>El Nido, Palawan</v>
      </c>
    </row>
    <row r="662">
      <c r="A662" s="1" t="s">
        <v>1887</v>
      </c>
      <c r="B662" s="1" t="s">
        <v>1888</v>
      </c>
      <c r="C662" s="1" t="s">
        <v>13</v>
      </c>
      <c r="D662" s="1">
        <v>11.1728332</v>
      </c>
      <c r="E662" s="1">
        <v>119.3903595</v>
      </c>
      <c r="F662" s="1" t="s">
        <v>1886</v>
      </c>
      <c r="G662" s="3" t="str">
        <f>IFERROR(__xludf.DUMMYFUNCTION("IF(REGEXMATCH(F662, ""(?:.*,\s*)?([^,]+),\s*([^,]+),\s*Philippines.*""), TRIM(REGEXREPLACE(REGEXREPLACE(F662, ""(?:.*,\s*)?([^,]+),\s*([^,]+),\s*Philippines.*"", ""$1, $2""), ""\d+"", """")), """")"),"El Nido, Palawan")</f>
        <v>El Nido, Palawan</v>
      </c>
    </row>
    <row r="663">
      <c r="A663" s="1" t="s">
        <v>1889</v>
      </c>
      <c r="B663" s="1" t="s">
        <v>1890</v>
      </c>
      <c r="C663" s="1" t="s">
        <v>13</v>
      </c>
      <c r="D663" s="1">
        <v>13.9946637</v>
      </c>
      <c r="E663" s="1">
        <v>121.837662</v>
      </c>
      <c r="F663" s="1" t="s">
        <v>1891</v>
      </c>
      <c r="G663" s="3" t="str">
        <f>IFERROR(__xludf.DUMMYFUNCTION("IF(REGEXMATCH(F663, ""(?:.*,\s*)?([^,]+),\s*([^,]+),\s*Philippines.*""), TRIM(REGEXREPLACE(REGEXREPLACE(F663, ""(?:.*,\s*)?([^,]+),\s*([^,]+),\s*Philippines.*"", ""$1, $2""), ""\d+"", """")), """")"),"Atimonan, Quezon")</f>
        <v>Atimonan, Quezon</v>
      </c>
    </row>
    <row r="664">
      <c r="A664" s="1" t="s">
        <v>1892</v>
      </c>
      <c r="B664" s="1" t="s">
        <v>1893</v>
      </c>
      <c r="C664" s="1" t="s">
        <v>13</v>
      </c>
      <c r="D664" s="1">
        <v>13.9595134</v>
      </c>
      <c r="E664" s="1">
        <v>121.9720284</v>
      </c>
      <c r="F664" s="1" t="s">
        <v>1894</v>
      </c>
      <c r="G664" s="3" t="str">
        <f>IFERROR(__xludf.DUMMYFUNCTION("IF(REGEXMATCH(F664, ""(?:.*,\s*)?([^,]+),\s*([^,]+),\s*Philippines.*""), TRIM(REGEXREPLACE(REGEXREPLACE(F664, ""(?:.*,\s*)?([^,]+),\s*([^,]+),\s*Philippines.*"", ""$1, $2""), ""\d+"", """")), """")"),"Atimonan, Quezon")</f>
        <v>Atimonan, Quezon</v>
      </c>
    </row>
    <row r="665">
      <c r="A665" s="1" t="s">
        <v>1895</v>
      </c>
      <c r="B665" s="1" t="s">
        <v>1896</v>
      </c>
      <c r="C665" s="1" t="s">
        <v>9</v>
      </c>
      <c r="D665" s="1">
        <v>14.0475849</v>
      </c>
      <c r="E665" s="1">
        <v>121.161261</v>
      </c>
      <c r="F665" s="1" t="s">
        <v>1897</v>
      </c>
      <c r="G665" s="3" t="str">
        <f>IFERROR(__xludf.DUMMYFUNCTION("IF(REGEXMATCH(F665, ""(?:.*,\s*)?([^,]+),\s*([^,]+),\s*Philippines.*""), TRIM(REGEXREPLACE(REGEXREPLACE(F665, ""(?:.*,\s*)?([^,]+),\s*([^,]+),\s*Philippines.*"", ""$1, $2""), ""\d+"", """")), """")"),"Malvar, Batangas")</f>
        <v>Malvar, Batangas</v>
      </c>
    </row>
    <row r="666">
      <c r="A666" s="1" t="s">
        <v>1898</v>
      </c>
      <c r="B666" s="1" t="s">
        <v>1899</v>
      </c>
      <c r="C666" s="1" t="s">
        <v>9</v>
      </c>
      <c r="D666" s="1">
        <v>14.2373479</v>
      </c>
      <c r="E666" s="1">
        <v>121.1509924</v>
      </c>
      <c r="F666" s="1" t="s">
        <v>1900</v>
      </c>
      <c r="G666" s="3" t="str">
        <f>IFERROR(__xludf.DUMMYFUNCTION("IF(REGEXMATCH(F666, ""(?:.*,\s*)?([^,]+),\s*([^,]+),\s*Philippines.*""), TRIM(REGEXREPLACE(REGEXREPLACE(F666, ""(?:.*,\s*)?([^,]+),\s*([^,]+),\s*Philippines.*"", ""$1, $2""), ""\d+"", """")), """")"),"Cabuyao City, Laguna")</f>
        <v>Cabuyao City, Laguna</v>
      </c>
    </row>
    <row r="667">
      <c r="A667" s="1" t="s">
        <v>1901</v>
      </c>
      <c r="B667" s="1" t="s">
        <v>1902</v>
      </c>
      <c r="C667" s="1" t="s">
        <v>13</v>
      </c>
      <c r="D667" s="1">
        <v>12.5215784</v>
      </c>
      <c r="E667" s="1">
        <v>121.4410015</v>
      </c>
      <c r="F667" s="1" t="s">
        <v>1903</v>
      </c>
      <c r="G667" s="3" t="str">
        <f>IFERROR(__xludf.DUMMYFUNCTION("IF(REGEXMATCH(F667, ""(?:.*,\s*)?([^,]+),\s*([^,]+),\s*Philippines.*""), TRIM(REGEXREPLACE(REGEXREPLACE(F667, ""(?:.*,\s*)?([^,]+),\s*([^,]+),\s*Philippines.*"", ""$1, $2""), ""\d+"", """")), """")"),"Mansalay, Oriental Mindoro")</f>
        <v>Mansalay, Oriental Mindoro</v>
      </c>
    </row>
    <row r="668">
      <c r="A668" s="1" t="s">
        <v>1904</v>
      </c>
      <c r="B668" s="1" t="s">
        <v>1905</v>
      </c>
      <c r="C668" s="1" t="s">
        <v>13</v>
      </c>
      <c r="D668" s="1">
        <v>14.5470057</v>
      </c>
      <c r="E668" s="1">
        <v>121.1252118</v>
      </c>
      <c r="F668" s="1" t="s">
        <v>1906</v>
      </c>
      <c r="G668" s="3" t="str">
        <f>IFERROR(__xludf.DUMMYFUNCTION("IF(REGEXMATCH(F668, ""(?:.*,\s*)?([^,]+),\s*([^,]+),\s*Philippines.*""), TRIM(REGEXREPLACE(REGEXREPLACE(F668, ""(?:.*,\s*)?([^,]+),\s*([^,]+),\s*Philippines.*"", ""$1, $2""), ""\d+"", """")), """")"),"Taytay, Lalawigan ng Rizal")</f>
        <v>Taytay, Lalawigan ng Rizal</v>
      </c>
    </row>
    <row r="669">
      <c r="A669" s="1" t="s">
        <v>1907</v>
      </c>
      <c r="B669" s="1" t="s">
        <v>1908</v>
      </c>
      <c r="C669" s="1" t="s">
        <v>13</v>
      </c>
      <c r="D669" s="1">
        <v>13.8946137</v>
      </c>
      <c r="E669" s="1">
        <v>121.2927073</v>
      </c>
      <c r="F669" s="1" t="s">
        <v>1909</v>
      </c>
      <c r="G669" s="3" t="str">
        <f>IFERROR(__xludf.DUMMYFUNCTION("IF(REGEXMATCH(F669, ""(?:.*,\s*)?([^,]+),\s*([^,]+),\s*Philippines.*""), TRIM(REGEXREPLACE(REGEXREPLACE(F669, ""(?:.*,\s*)?([^,]+),\s*([^,]+),\s*Philippines.*"", ""$1, $2""), ""\d+"", """")), """")"),"San Antonio, Quezon")</f>
        <v>San Antonio, Quezon</v>
      </c>
    </row>
    <row r="670">
      <c r="A670" s="1" t="s">
        <v>1910</v>
      </c>
      <c r="B670" s="1" t="s">
        <v>1911</v>
      </c>
      <c r="C670" s="1" t="s">
        <v>13</v>
      </c>
      <c r="D670" s="1">
        <v>14.1826812</v>
      </c>
      <c r="E670" s="1">
        <v>121.706008</v>
      </c>
      <c r="F670" s="1" t="s">
        <v>1912</v>
      </c>
      <c r="G670" s="3" t="str">
        <f>IFERROR(__xludf.DUMMYFUNCTION("IF(REGEXMATCH(F670, ""(?:.*,\s*)?([^,]+),\s*([^,]+),\s*Philippines.*""), TRIM(REGEXREPLACE(REGEXREPLACE(F670, ""(?:.*,\s*)?([^,]+),\s*([^,]+),\s*Philippines.*"", ""$1, $2""), ""\d+"", """")), """")"),"Mauban, Quezon")</f>
        <v>Mauban, Quezon</v>
      </c>
    </row>
    <row r="671">
      <c r="A671" s="1" t="s">
        <v>1913</v>
      </c>
      <c r="B671" s="1" t="s">
        <v>1914</v>
      </c>
      <c r="C671" s="1" t="s">
        <v>9</v>
      </c>
      <c r="D671" s="1">
        <v>13.949456</v>
      </c>
      <c r="E671" s="1">
        <v>121.6204042</v>
      </c>
      <c r="F671" s="1" t="s">
        <v>1915</v>
      </c>
      <c r="G671" s="3" t="str">
        <f>IFERROR(__xludf.DUMMYFUNCTION("IF(REGEXMATCH(F671, ""(?:.*,\s*)?([^,]+),\s*([^,]+),\s*Philippines.*""), TRIM(REGEXREPLACE(REGEXREPLACE(F671, ""(?:.*,\s*)?([^,]+),\s*([^,]+),\s*Philippines.*"", ""$1, $2""), ""\d+"", """")), """")"),"Lucena City, Quezon Province")</f>
        <v>Lucena City, Quezon Province</v>
      </c>
    </row>
    <row r="672">
      <c r="A672" s="1" t="s">
        <v>1916</v>
      </c>
      <c r="B672" s="1" t="s">
        <v>1917</v>
      </c>
      <c r="C672" s="1" t="s">
        <v>9</v>
      </c>
      <c r="D672" s="1">
        <v>14.2422896</v>
      </c>
      <c r="E672" s="1">
        <v>121.1138587</v>
      </c>
      <c r="F672" s="1" t="s">
        <v>1918</v>
      </c>
      <c r="G672" s="3" t="str">
        <f>IFERROR(__xludf.DUMMYFUNCTION("IF(REGEXMATCH(F672, ""(?:.*,\s*)?([^,]+),\s*([^,]+),\s*Philippines.*""), TRIM(REGEXREPLACE(REGEXREPLACE(F672, ""(?:.*,\s*)?([^,]+),\s*([^,]+),\s*Philippines.*"", ""$1, $2""), ""\d+"", """")), """")"),"Cabuyao City, Laguna")</f>
        <v>Cabuyao City, Laguna</v>
      </c>
    </row>
    <row r="673">
      <c r="A673" s="1" t="s">
        <v>1919</v>
      </c>
      <c r="B673" s="1" t="s">
        <v>1920</v>
      </c>
      <c r="C673" s="1" t="s">
        <v>13</v>
      </c>
      <c r="D673" s="1">
        <v>14.0354808</v>
      </c>
      <c r="E673" s="1">
        <v>122.5887254</v>
      </c>
      <c r="F673" s="1" t="s">
        <v>1921</v>
      </c>
      <c r="G673" s="3" t="str">
        <f>IFERROR(__xludf.DUMMYFUNCTION("IF(REGEXMATCH(F673, ""(?:.*,\s*)?([^,]+),\s*([^,]+),\s*Philippines.*""), TRIM(REGEXREPLACE(REGEXREPLACE(F673, ""(?:.*,\s*)?([^,]+),\s*([^,]+),\s*Philippines.*"", ""$1, $2""), ""\d+"", """")), """")"),"Tagkawayan, Quezon")</f>
        <v>Tagkawayan, Quezon</v>
      </c>
    </row>
    <row r="674">
      <c r="A674" s="1" t="s">
        <v>1922</v>
      </c>
      <c r="B674" s="1" t="s">
        <v>1923</v>
      </c>
      <c r="C674" s="1" t="s">
        <v>13</v>
      </c>
      <c r="D674" s="1">
        <v>14.2757437</v>
      </c>
      <c r="E674" s="1">
        <v>120.7346817</v>
      </c>
      <c r="F674" s="1" t="s">
        <v>1924</v>
      </c>
      <c r="G674" s="3" t="str">
        <f>IFERROR(__xludf.DUMMYFUNCTION("IF(REGEXMATCH(F674, ""(?:.*,\s*)?([^,]+),\s*([^,]+),\s*Philippines.*""), TRIM(REGEXREPLACE(REGEXREPLACE(F674, ""(?:.*,\s*)?([^,]+),\s*([^,]+),\s*Philippines.*"", ""$1, $2""), ""\d+"", """")), """")"),"Maragondon, Cavite")</f>
        <v>Maragondon, Cavite</v>
      </c>
    </row>
    <row r="675">
      <c r="A675" s="1" t="s">
        <v>1925</v>
      </c>
      <c r="B675" s="1" t="s">
        <v>1926</v>
      </c>
      <c r="C675" s="1" t="s">
        <v>9</v>
      </c>
      <c r="D675" s="1">
        <v>14.350831</v>
      </c>
      <c r="E675" s="1">
        <v>120.9375453</v>
      </c>
      <c r="F675" s="1" t="s">
        <v>1927</v>
      </c>
      <c r="G675" s="3" t="str">
        <f>IFERROR(__xludf.DUMMYFUNCTION("IF(REGEXMATCH(F675, ""(?:.*,\s*)?([^,]+),\s*([^,]+),\s*Philippines.*""), TRIM(REGEXREPLACE(REGEXREPLACE(F675, ""(?:.*,\s*)?([^,]+),\s*([^,]+),\s*Philippines.*"", ""$1, $2""), ""\d+"", """")), """")"),"Dasmariñas, Cavite")</f>
        <v>Dasmariñas, Cavite</v>
      </c>
    </row>
    <row r="676">
      <c r="A676" s="1" t="s">
        <v>1928</v>
      </c>
      <c r="B676" s="1" t="s">
        <v>1929</v>
      </c>
      <c r="C676" s="1" t="s">
        <v>9</v>
      </c>
      <c r="D676" s="1">
        <v>12.6678893</v>
      </c>
      <c r="E676" s="1">
        <v>123.9881393</v>
      </c>
      <c r="F676" s="1" t="s">
        <v>1930</v>
      </c>
      <c r="G676" s="3" t="str">
        <f>IFERROR(__xludf.DUMMYFUNCTION("IF(REGEXMATCH(F676, ""(?:.*,\s*)?([^,]+),\s*([^,]+),\s*Philippines.*""), TRIM(REGEXREPLACE(REGEXREPLACE(F676, ""(?:.*,\s*)?([^,]+),\s*([^,]+),\s*Philippines.*"", ""$1, $2""), ""\d+"", """")), """")"),"")</f>
        <v/>
      </c>
    </row>
    <row r="677">
      <c r="A677" s="1" t="s">
        <v>1931</v>
      </c>
      <c r="B677" s="1" t="s">
        <v>1932</v>
      </c>
      <c r="C677" s="1" t="s">
        <v>13</v>
      </c>
      <c r="D677" s="1">
        <v>10.7677157</v>
      </c>
      <c r="E677" s="1">
        <v>122.5782788</v>
      </c>
      <c r="F677" s="1" t="s">
        <v>1933</v>
      </c>
      <c r="G677" s="3" t="str">
        <f>IFERROR(__xludf.DUMMYFUNCTION("IF(REGEXMATCH(F677, ""(?:.*,\s*)?([^,]+),\s*([^,]+),\s*Philippines.*""), TRIM(REGEXREPLACE(REGEXREPLACE(F677, ""(?:.*,\s*)?([^,]+),\s*([^,]+),\s*Philippines.*"", ""$1, $2""), ""\d+"", """")), """")"),"Iloilo City, Iloilo")</f>
        <v>Iloilo City, Iloilo</v>
      </c>
    </row>
    <row r="678">
      <c r="A678" s="1" t="s">
        <v>1934</v>
      </c>
      <c r="B678" s="1" t="s">
        <v>1935</v>
      </c>
      <c r="C678" s="1" t="s">
        <v>13</v>
      </c>
      <c r="D678" s="1">
        <v>13.3642248</v>
      </c>
      <c r="E678" s="1">
        <v>122.5108632</v>
      </c>
      <c r="F678" s="1" t="s">
        <v>1936</v>
      </c>
      <c r="G678" s="3" t="str">
        <f>IFERROR(__xludf.DUMMYFUNCTION("IF(REGEXMATCH(F678, ""(?:.*,\s*)?([^,]+),\s*([^,]+),\s*Philippines.*""), TRIM(REGEXREPLACE(REGEXREPLACE(F678, ""(?:.*,\s*)?([^,]+),\s*([^,]+),\s*Philippines.*"", ""$1, $2""), ""\d+"", """")), """")"),"San Francisco (Aurora), Quezon")</f>
        <v>San Francisco (Aurora), Quezon</v>
      </c>
    </row>
    <row r="679">
      <c r="A679" s="1" t="s">
        <v>1937</v>
      </c>
      <c r="B679" s="1" t="s">
        <v>1938</v>
      </c>
      <c r="C679" s="1" t="s">
        <v>13</v>
      </c>
      <c r="D679" s="1">
        <v>14.4389125</v>
      </c>
      <c r="E679" s="1">
        <v>121.2104844</v>
      </c>
      <c r="F679" s="1" t="s">
        <v>1939</v>
      </c>
      <c r="G679" s="3" t="str">
        <f>IFERROR(__xludf.DUMMYFUNCTION("IF(REGEXMATCH(F679, ""(?:.*,\s*)?([^,]+),\s*([^,]+),\s*Philippines.*""), TRIM(REGEXREPLACE(REGEXREPLACE(F679, ""(?:.*,\s*)?([^,]+),\s*([^,]+),\s*Philippines.*"", ""$1, $2""), ""\d+"", """")), """")"),"Binangonan, Rizal")</f>
        <v>Binangonan, Rizal</v>
      </c>
    </row>
    <row r="680">
      <c r="A680" s="1" t="s">
        <v>1940</v>
      </c>
      <c r="B680" s="1" t="s">
        <v>1941</v>
      </c>
      <c r="C680" s="1" t="s">
        <v>9</v>
      </c>
      <c r="D680" s="1">
        <v>12.879721</v>
      </c>
      <c r="E680" s="1">
        <v>121.774017</v>
      </c>
      <c r="F680" s="1" t="s">
        <v>47</v>
      </c>
      <c r="G680" s="3" t="str">
        <f>IFERROR(__xludf.DUMMYFUNCTION("IF(REGEXMATCH(F680, ""(?:.*,\s*)?([^,]+),\s*([^,]+),\s*Philippines.*""), TRIM(REGEXREPLACE(REGEXREPLACE(F680, ""(?:.*,\s*)?([^,]+),\s*([^,]+),\s*Philippines.*"", ""$1, $2""), ""\d+"", """")), """")"),"")</f>
        <v/>
      </c>
    </row>
    <row r="681">
      <c r="A681" s="1" t="s">
        <v>1942</v>
      </c>
      <c r="B681" s="1" t="s">
        <v>1943</v>
      </c>
      <c r="C681" s="1" t="s">
        <v>766</v>
      </c>
      <c r="D681" s="1">
        <v>14.6279416</v>
      </c>
      <c r="E681" s="1">
        <v>121.162448</v>
      </c>
      <c r="F681" s="1" t="s">
        <v>407</v>
      </c>
      <c r="G681" s="3" t="str">
        <f>IFERROR(__xludf.DUMMYFUNCTION("IF(REGEXMATCH(F681, ""(?:.*,\s*)?([^,]+),\s*([^,]+),\s*Philippines.*""), TRIM(REGEXREPLACE(REGEXREPLACE(F681, ""(?:.*,\s*)?([^,]+),\s*([^,]+),\s*Philippines.*"", ""$1, $2""), ""\d+"", """")), """")"),"Antipolo, Rizal")</f>
        <v>Antipolo, Rizal</v>
      </c>
    </row>
    <row r="682">
      <c r="A682" s="1" t="s">
        <v>1944</v>
      </c>
      <c r="B682" s="1" t="s">
        <v>1945</v>
      </c>
      <c r="C682" s="1" t="s">
        <v>9</v>
      </c>
      <c r="D682" s="1">
        <v>14.2086715</v>
      </c>
      <c r="E682" s="1">
        <v>121.1141891</v>
      </c>
      <c r="F682" s="1" t="s">
        <v>1946</v>
      </c>
      <c r="G682" s="3" t="str">
        <f>IFERROR(__xludf.DUMMYFUNCTION("IF(REGEXMATCH(F682, ""(?:.*,\s*)?([^,]+),\s*([^,]+),\s*Philippines.*""), TRIM(REGEXREPLACE(REGEXREPLACE(F682, ""(?:.*,\s*)?([^,]+),\s*([^,]+),\s*Philippines.*"", ""$1, $2""), ""\d+"", """")), """")"),"Calamba, Laguna")</f>
        <v>Calamba, Laguna</v>
      </c>
    </row>
    <row r="683">
      <c r="A683" s="1" t="s">
        <v>1947</v>
      </c>
      <c r="B683" s="1" t="s">
        <v>1948</v>
      </c>
      <c r="C683" s="1" t="s">
        <v>9</v>
      </c>
      <c r="D683" s="1">
        <v>14.7137157</v>
      </c>
      <c r="E683" s="1">
        <v>121.1410351</v>
      </c>
      <c r="F683" s="1" t="s">
        <v>1949</v>
      </c>
      <c r="G683" s="3" t="str">
        <f>IFERROR(__xludf.DUMMYFUNCTION("IF(REGEXMATCH(F683, ""(?:.*,\s*)?([^,]+),\s*([^,]+),\s*Philippines.*""), TRIM(REGEXREPLACE(REGEXREPLACE(F683, ""(?:.*,\s*)?([^,]+),\s*([^,]+),\s*Philippines.*"", ""$1, $2""), ""\d+"", """")), """")"),"Rodriguez, Rizal")</f>
        <v>Rodriguez, Rizal</v>
      </c>
    </row>
    <row r="684">
      <c r="A684" s="1" t="s">
        <v>1950</v>
      </c>
      <c r="B684" s="1" t="s">
        <v>793</v>
      </c>
      <c r="C684" s="1" t="s">
        <v>13</v>
      </c>
      <c r="D684" s="1">
        <v>14.1961161</v>
      </c>
      <c r="E684" s="1">
        <v>121.3384371</v>
      </c>
      <c r="F684" s="1" t="s">
        <v>1951</v>
      </c>
      <c r="G684" s="3" t="str">
        <f>IFERROR(__xludf.DUMMYFUNCTION("IF(REGEXMATCH(F684, ""(?:.*,\s*)?([^,]+),\s*([^,]+),\s*Philippines.*""), TRIM(REGEXREPLACE(REGEXREPLACE(F684, ""(?:.*,\s*)?([^,]+),\s*([^,]+),\s*Philippines.*"", ""$1, $2""), ""\d+"", """")), """")"),"Victoria, Laguna")</f>
        <v>Victoria, Laguna</v>
      </c>
    </row>
    <row r="685">
      <c r="A685" s="1" t="s">
        <v>1952</v>
      </c>
      <c r="B685" s="1" t="s">
        <v>1953</v>
      </c>
      <c r="C685" s="1" t="s">
        <v>13</v>
      </c>
      <c r="D685" s="1">
        <v>14.1462277</v>
      </c>
      <c r="E685" s="1">
        <v>121.2735164</v>
      </c>
      <c r="F685" s="1" t="s">
        <v>1954</v>
      </c>
      <c r="G685" s="3" t="str">
        <f>IFERROR(__xludf.DUMMYFUNCTION("IF(REGEXMATCH(F685, ""(?:.*,\s*)?([^,]+),\s*([^,]+),\s*Philippines.*""), TRIM(REGEXREPLACE(REGEXREPLACE(F685, ""(?:.*,\s*)?([^,]+),\s*([^,]+),\s*Philippines.*"", ""$1, $2""), ""\d+"", """")), """")"),"Bay, Laguna")</f>
        <v>Bay, Laguna</v>
      </c>
    </row>
    <row r="686">
      <c r="A686" s="1" t="s">
        <v>1955</v>
      </c>
      <c r="B686" s="1" t="s">
        <v>1956</v>
      </c>
      <c r="C686" s="1" t="s">
        <v>9</v>
      </c>
      <c r="D686" s="1">
        <v>14.1829115</v>
      </c>
      <c r="E686" s="1">
        <v>120.7973204</v>
      </c>
      <c r="F686" s="1" t="s">
        <v>1957</v>
      </c>
      <c r="G686" s="3" t="str">
        <f>IFERROR(__xludf.DUMMYFUNCTION("IF(REGEXMATCH(F686, ""(?:.*,\s*)?([^,]+),\s*([^,]+),\s*Philippines.*""), TRIM(REGEXREPLACE(REGEXREPLACE(F686, ""(?:.*,\s*)?([^,]+),\s*([^,]+),\s*Philippines.*"", ""$1, $2""), ""\d+"", """")), """")"),"General Emilio Aguinaldo, Cavite")</f>
        <v>General Emilio Aguinaldo, Cavite</v>
      </c>
    </row>
    <row r="687">
      <c r="A687" s="1" t="s">
        <v>1958</v>
      </c>
      <c r="B687" s="1" t="s">
        <v>1959</v>
      </c>
      <c r="C687" s="1" t="s">
        <v>9</v>
      </c>
      <c r="D687" s="1">
        <v>13.9816437</v>
      </c>
      <c r="E687" s="1">
        <v>121.0926307</v>
      </c>
      <c r="F687" s="1" t="s">
        <v>1960</v>
      </c>
      <c r="G687" s="3" t="str">
        <f>IFERROR(__xludf.DUMMYFUNCTION("IF(REGEXMATCH(F687, ""(?:.*,\s*)?([^,]+),\s*([^,]+),\s*Philippines.*""), TRIM(REGEXREPLACE(REGEXREPLACE(F687, ""(?:.*,\s*)?([^,]+),\s*([^,]+),\s*Philippines.*"", ""$1, $2""), ""\d+"", """")), """")"),"Mataas Na Kahoy, Batangas")</f>
        <v>Mataas Na Kahoy, Batangas</v>
      </c>
    </row>
    <row r="688">
      <c r="A688" s="1" t="s">
        <v>1961</v>
      </c>
      <c r="B688" s="1" t="s">
        <v>1962</v>
      </c>
      <c r="C688" s="1" t="s">
        <v>13</v>
      </c>
      <c r="D688" s="1">
        <v>14.4153848</v>
      </c>
      <c r="E688" s="1">
        <v>121.4080987</v>
      </c>
      <c r="F688" s="1" t="s">
        <v>1963</v>
      </c>
      <c r="G688" s="3" t="str">
        <f>IFERROR(__xludf.DUMMYFUNCTION("IF(REGEXMATCH(F688, ""(?:.*,\s*)?([^,]+),\s*([^,]+),\s*Philippines.*""), TRIM(REGEXREPLACE(REGEXREPLACE(F688, ""(?:.*,\s*)?([^,]+),\s*([^,]+),\s*Philippines.*"", ""$1, $2""), ""\d+"", """")), """")"),"Mabitac, Laguna")</f>
        <v>Mabitac, Laguna</v>
      </c>
    </row>
    <row r="689">
      <c r="A689" s="1" t="s">
        <v>1964</v>
      </c>
      <c r="B689" s="1" t="s">
        <v>1965</v>
      </c>
      <c r="C689" s="1" t="s">
        <v>13</v>
      </c>
      <c r="D689" s="1">
        <v>13.602259</v>
      </c>
      <c r="E689" s="1">
        <v>122.2948776</v>
      </c>
      <c r="F689" s="1" t="s">
        <v>1966</v>
      </c>
      <c r="G689" s="3" t="str">
        <f>IFERROR(__xludf.DUMMYFUNCTION("IF(REGEXMATCH(F689, ""(?:.*,\s*)?([^,]+),\s*([^,]+),\s*Philippines.*""), TRIM(REGEXREPLACE(REGEXREPLACE(F689, ""(?:.*,\s*)?([^,]+),\s*([^,]+),\s*Philippines.*"", ""$1, $2""), ""\d+"", """")), """")"),"Catanauan, Quezon")</f>
        <v>Catanauan, Quezon</v>
      </c>
    </row>
    <row r="690">
      <c r="A690" s="1" t="s">
        <v>1967</v>
      </c>
      <c r="B690" s="1" t="s">
        <v>1968</v>
      </c>
      <c r="C690" s="1" t="s">
        <v>9</v>
      </c>
      <c r="D690" s="1">
        <v>14.1223813</v>
      </c>
      <c r="E690" s="1">
        <v>121.2997765</v>
      </c>
      <c r="F690" s="1" t="s">
        <v>1969</v>
      </c>
      <c r="G690" s="3" t="str">
        <f>IFERROR(__xludf.DUMMYFUNCTION("IF(REGEXMATCH(F690, ""(?:.*,\s*)?([^,]+),\s*([^,]+),\s*Philippines.*""), TRIM(REGEXREPLACE(REGEXREPLACE(F690, ""(?:.*,\s*)?([^,]+),\s*([^,]+),\s*Philippines.*"", ""$1, $2""), ""\d+"", """")), """")"),"Calauan, Laguna")</f>
        <v>Calauan, Laguna</v>
      </c>
    </row>
    <row r="691">
      <c r="A691" s="1" t="s">
        <v>1970</v>
      </c>
      <c r="B691" s="1" t="s">
        <v>1971</v>
      </c>
      <c r="C691" s="1" t="s">
        <v>13</v>
      </c>
      <c r="D691" s="1">
        <v>14.623119</v>
      </c>
      <c r="E691" s="1">
        <v>121.2598713</v>
      </c>
      <c r="F691" s="1" t="s">
        <v>1972</v>
      </c>
      <c r="G691" s="3" t="str">
        <f>IFERROR(__xludf.DUMMYFUNCTION("IF(REGEXMATCH(F691, ""(?:.*,\s*)?([^,]+),\s*([^,]+),\s*Philippines.*""), TRIM(REGEXREPLACE(REGEXREPLACE(F691, ""(?:.*,\s*)?([^,]+),\s*([^,]+),\s*Philippines.*"", ""$1, $2""), ""\d+"", """")), """")"),"Baras, Rizal")</f>
        <v>Baras, Rizal</v>
      </c>
    </row>
    <row r="692">
      <c r="A692" s="1" t="s">
        <v>1973</v>
      </c>
      <c r="B692" s="1" t="s">
        <v>1974</v>
      </c>
      <c r="C692" s="1" t="s">
        <v>13</v>
      </c>
      <c r="D692" s="1">
        <v>13.841105</v>
      </c>
      <c r="E692" s="1">
        <v>121.1171011</v>
      </c>
      <c r="F692" s="1" t="s">
        <v>1975</v>
      </c>
      <c r="G692" s="3" t="str">
        <f>IFERROR(__xludf.DUMMYFUNCTION("IF(REGEXMATCH(F692, ""(?:.*,\s*)?([^,]+),\s*([^,]+),\s*Philippines.*""), TRIM(REGEXREPLACE(REGEXREPLACE(F692, ""(?:.*,\s*)?([^,]+),\s*([^,]+),\s*Philippines.*"", ""$1, $2""), ""\d+"", """")), """")"),"Ibaan, Batangas")</f>
        <v>Ibaan, Batangas</v>
      </c>
    </row>
    <row r="693">
      <c r="A693" s="1" t="s">
        <v>1976</v>
      </c>
      <c r="B693" s="1" t="s">
        <v>1977</v>
      </c>
      <c r="C693" s="1" t="s">
        <v>13</v>
      </c>
      <c r="D693" s="1">
        <v>14.6352466</v>
      </c>
      <c r="E693" s="1">
        <v>121.1189514</v>
      </c>
      <c r="F693" s="1" t="s">
        <v>1978</v>
      </c>
      <c r="G693" s="3" t="str">
        <f>IFERROR(__xludf.DUMMYFUNCTION("IF(REGEXMATCH(F693, ""(?:.*,\s*)?([^,]+),\s*([^,]+),\s*Philippines.*""), TRIM(REGEXREPLACE(REGEXREPLACE(F693, ""(?:.*,\s*)?([^,]+),\s*([^,]+),\s*Philippines.*"", ""$1, $2""), ""\d+"", """")), """")"),"Marikina, Metro Manila")</f>
        <v>Marikina, Metro Manila</v>
      </c>
    </row>
    <row r="694">
      <c r="A694" s="1" t="s">
        <v>1979</v>
      </c>
      <c r="B694" s="1" t="s">
        <v>1980</v>
      </c>
      <c r="C694" s="1" t="s">
        <v>13</v>
      </c>
      <c r="D694" s="1">
        <v>13.9331387</v>
      </c>
      <c r="E694" s="1">
        <v>121.6455903</v>
      </c>
      <c r="F694" s="1" t="s">
        <v>1981</v>
      </c>
      <c r="G694" s="3" t="str">
        <f>IFERROR(__xludf.DUMMYFUNCTION("IF(REGEXMATCH(F694, ""(?:.*,\s*)?([^,]+),\s*([^,]+),\s*Philippines.*""), TRIM(REGEXREPLACE(REGEXREPLACE(F694, ""(?:.*,\s*)?([^,]+),\s*([^,]+),\s*Philippines.*"", ""$1, $2""), ""\d+"", """")), """")"),"Lucena City, Quezon")</f>
        <v>Lucena City, Quezon</v>
      </c>
    </row>
    <row r="695">
      <c r="A695" s="1" t="s">
        <v>1982</v>
      </c>
      <c r="B695" s="1" t="s">
        <v>1983</v>
      </c>
      <c r="C695" s="1" t="s">
        <v>13</v>
      </c>
      <c r="D695" s="1">
        <v>13.7906019</v>
      </c>
      <c r="E695" s="1">
        <v>121.2650549</v>
      </c>
      <c r="F695" s="1" t="s">
        <v>1984</v>
      </c>
      <c r="G695" s="3" t="str">
        <f>IFERROR(__xludf.DUMMYFUNCTION("IF(REGEXMATCH(F695, ""(?:.*,\s*)?([^,]+),\s*([^,]+),\s*Philippines.*""), TRIM(REGEXREPLACE(REGEXREPLACE(F695, ""(?:.*,\s*)?([^,]+),\s*([^,]+),\s*Philippines.*"", ""$1, $2""), ""\d+"", """")), """")"),"Rosario, Batangas")</f>
        <v>Rosario, Batangas</v>
      </c>
    </row>
    <row r="696">
      <c r="A696" s="1" t="s">
        <v>1985</v>
      </c>
      <c r="B696" s="1" t="s">
        <v>1983</v>
      </c>
      <c r="C696" s="1" t="s">
        <v>9</v>
      </c>
      <c r="D696" s="1">
        <v>13.7913613</v>
      </c>
      <c r="E696" s="1">
        <v>121.2683591</v>
      </c>
      <c r="F696" s="1" t="s">
        <v>1986</v>
      </c>
      <c r="G696" s="3" t="str">
        <f>IFERROR(__xludf.DUMMYFUNCTION("IF(REGEXMATCH(F696, ""(?:.*,\s*)?([^,]+),\s*([^,]+),\s*Philippines.*""), TRIM(REGEXREPLACE(REGEXREPLACE(F696, ""(?:.*,\s*)?([^,]+),\s*([^,]+),\s*Philippines.*"", ""$1, $2""), ""\d+"", """")), """")"),"Rosario, Batangas")</f>
        <v>Rosario, Batangas</v>
      </c>
    </row>
    <row r="697">
      <c r="A697" s="1" t="s">
        <v>1987</v>
      </c>
      <c r="B697" s="1" t="s">
        <v>1988</v>
      </c>
      <c r="C697" s="1" t="s">
        <v>13</v>
      </c>
      <c r="D697" s="1">
        <v>14.4475822</v>
      </c>
      <c r="E697" s="1">
        <v>120.9410398</v>
      </c>
      <c r="F697" s="1" t="s">
        <v>1989</v>
      </c>
      <c r="G697" s="3" t="str">
        <f>IFERROR(__xludf.DUMMYFUNCTION("IF(REGEXMATCH(F697, ""(?:.*,\s*)?([^,]+),\s*([^,]+),\s*Philippines.*""), TRIM(REGEXREPLACE(REGEXREPLACE(F697, ""(?:.*,\s*)?([^,]+),\s*([^,]+),\s*Philippines.*"", ""$1, $2""), ""\d+"", """")), """")"),"Bacoor, Cavite")</f>
        <v>Bacoor, Cavite</v>
      </c>
    </row>
    <row r="698">
      <c r="A698" s="1" t="s">
        <v>1990</v>
      </c>
      <c r="B698" s="1" t="s">
        <v>1991</v>
      </c>
      <c r="C698" s="1" t="s">
        <v>9</v>
      </c>
      <c r="D698" s="1">
        <v>14.2268597</v>
      </c>
      <c r="E698" s="1">
        <v>121.1400314</v>
      </c>
      <c r="F698" s="1" t="s">
        <v>1992</v>
      </c>
      <c r="G698" s="3" t="str">
        <f>IFERROR(__xludf.DUMMYFUNCTION("IF(REGEXMATCH(F698, ""(?:.*,\s*)?([^,]+),\s*([^,]+),\s*Philippines.*""), TRIM(REGEXREPLACE(REGEXREPLACE(F698, ""(?:.*,\s*)?([^,]+),\s*([^,]+),\s*Philippines.*"", ""$1, $2""), ""\d+"", """")), """")"),"Calamba, Laguna")</f>
        <v>Calamba, Laguna</v>
      </c>
    </row>
    <row r="699">
      <c r="A699" s="1" t="s">
        <v>1993</v>
      </c>
      <c r="B699" s="1" t="s">
        <v>1994</v>
      </c>
      <c r="C699" s="1" t="s">
        <v>9</v>
      </c>
      <c r="D699" s="1">
        <v>14.2204469</v>
      </c>
      <c r="E699" s="1">
        <v>121.1393586</v>
      </c>
      <c r="F699" s="1" t="s">
        <v>1995</v>
      </c>
      <c r="G699" s="3" t="str">
        <f>IFERROR(__xludf.DUMMYFUNCTION("IF(REGEXMATCH(F699, ""(?:.*,\s*)?([^,]+),\s*([^,]+),\s*Philippines.*""), TRIM(REGEXREPLACE(REGEXREPLACE(F699, ""(?:.*,\s*)?([^,]+),\s*([^,]+),\s*Philippines.*"", ""$1, $2""), ""\d+"", """")), """")"),"Calamba, Laguna")</f>
        <v>Calamba, Laguna</v>
      </c>
    </row>
    <row r="700">
      <c r="A700" s="1" t="s">
        <v>1996</v>
      </c>
      <c r="B700" s="1" t="s">
        <v>1997</v>
      </c>
      <c r="C700" s="1" t="s">
        <v>13</v>
      </c>
      <c r="D700" s="1">
        <v>12.879721</v>
      </c>
      <c r="E700" s="1">
        <v>121.774017</v>
      </c>
      <c r="F700" s="1" t="s">
        <v>47</v>
      </c>
      <c r="G700" s="3" t="str">
        <f>IFERROR(__xludf.DUMMYFUNCTION("IF(REGEXMATCH(F700, ""(?:.*,\s*)?([^,]+),\s*([^,]+),\s*Philippines.*""), TRIM(REGEXREPLACE(REGEXREPLACE(F700, ""(?:.*,\s*)?([^,]+),\s*([^,]+),\s*Philippines.*"", ""$1, $2""), ""\d+"", """")), """")"),"")</f>
        <v/>
      </c>
    </row>
    <row r="701">
      <c r="A701" s="1" t="s">
        <v>1998</v>
      </c>
      <c r="B701" s="1" t="s">
        <v>1999</v>
      </c>
      <c r="C701" s="1" t="s">
        <v>9</v>
      </c>
      <c r="D701" s="1">
        <v>14.3644419</v>
      </c>
      <c r="E701" s="1">
        <v>121.0427455</v>
      </c>
      <c r="F701" s="1" t="s">
        <v>2000</v>
      </c>
      <c r="G701" s="3" t="str">
        <f>IFERROR(__xludf.DUMMYFUNCTION("IF(REGEXMATCH(F701, ""(?:.*,\s*)?([^,]+),\s*([^,]+),\s*Philippines.*""), TRIM(REGEXREPLACE(REGEXREPLACE(F701, ""(?:.*,\s*)?([^,]+),\s*([^,]+),\s*Philippines.*"", ""$1, $2""), ""\d+"", """")), """")"),"San Pedro, Laguna")</f>
        <v>San Pedro, Laguna</v>
      </c>
    </row>
    <row r="702">
      <c r="A702" s="1" t="s">
        <v>2001</v>
      </c>
      <c r="B702" s="1" t="s">
        <v>2002</v>
      </c>
      <c r="C702" s="1" t="s">
        <v>9</v>
      </c>
      <c r="D702" s="1">
        <v>14.5894648</v>
      </c>
      <c r="E702" s="1">
        <v>121.1702795</v>
      </c>
      <c r="F702" s="1" t="s">
        <v>2003</v>
      </c>
      <c r="G702" s="3" t="str">
        <f>IFERROR(__xludf.DUMMYFUNCTION("IF(REGEXMATCH(F702, ""(?:.*,\s*)?([^,]+),\s*([^,]+),\s*Philippines.*""), TRIM(REGEXREPLACE(REGEXREPLACE(F702, ""(?:.*,\s*)?([^,]+),\s*([^,]+),\s*Philippines.*"", ""$1, $2""), ""\d+"", """")), """")"),"Antipolo, Rizal")</f>
        <v>Antipolo, Rizal</v>
      </c>
    </row>
    <row r="703">
      <c r="A703" s="1" t="s">
        <v>2004</v>
      </c>
      <c r="B703" s="1" t="s">
        <v>2005</v>
      </c>
      <c r="C703" s="1" t="s">
        <v>9</v>
      </c>
      <c r="D703" s="1">
        <v>14.5815651</v>
      </c>
      <c r="E703" s="1">
        <v>121.1753709</v>
      </c>
      <c r="F703" s="1" t="s">
        <v>2006</v>
      </c>
      <c r="G703" s="3" t="str">
        <f>IFERROR(__xludf.DUMMYFUNCTION("IF(REGEXMATCH(F703, ""(?:.*,\s*)?([^,]+),\s*([^,]+),\s*Philippines.*""), TRIM(REGEXREPLACE(REGEXREPLACE(F703, ""(?:.*,\s*)?([^,]+),\s*([^,]+),\s*Philippines.*"", ""$1, $2""), ""\d+"", """")), """")"),"Antipolo, Rizal")</f>
        <v>Antipolo, Rizal</v>
      </c>
    </row>
    <row r="704">
      <c r="A704" s="1" t="s">
        <v>2007</v>
      </c>
      <c r="B704" s="1" t="s">
        <v>2008</v>
      </c>
      <c r="C704" s="1" t="s">
        <v>9</v>
      </c>
      <c r="D704" s="1">
        <v>14.4457809</v>
      </c>
      <c r="E704" s="1">
        <v>120.9532604</v>
      </c>
      <c r="F704" s="1" t="s">
        <v>2009</v>
      </c>
      <c r="G704" s="3" t="str">
        <f>IFERROR(__xludf.DUMMYFUNCTION("IF(REGEXMATCH(F704, ""(?:.*,\s*)?([^,]+),\s*([^,]+),\s*Philippines.*""), TRIM(REGEXREPLACE(REGEXREPLACE(F704, ""(?:.*,\s*)?([^,]+),\s*([^,]+),\s*Philippines.*"", ""$1, $2""), ""\d+"", """")), """")"),"Bacoor, Cavite")</f>
        <v>Bacoor, Cavite</v>
      </c>
    </row>
    <row r="705">
      <c r="A705" s="1" t="s">
        <v>2010</v>
      </c>
      <c r="B705" s="1" t="s">
        <v>2011</v>
      </c>
      <c r="C705" s="1" t="s">
        <v>9</v>
      </c>
      <c r="D705" s="1">
        <v>14.2146457</v>
      </c>
      <c r="E705" s="1">
        <v>121.1495187</v>
      </c>
      <c r="F705" s="1" t="s">
        <v>2012</v>
      </c>
      <c r="G705" s="3" t="str">
        <f>IFERROR(__xludf.DUMMYFUNCTION("IF(REGEXMATCH(F705, ""(?:.*,\s*)?([^,]+),\s*([^,]+),\s*Philippines.*""), TRIM(REGEXREPLACE(REGEXREPLACE(F705, ""(?:.*,\s*)?([^,]+),\s*([^,]+),\s*Philippines.*"", ""$1, $2""), ""\d+"", """")), """")"),"Calamba, Laguna")</f>
        <v>Calamba, Laguna</v>
      </c>
    </row>
    <row r="706">
      <c r="A706" s="1" t="s">
        <v>2013</v>
      </c>
      <c r="B706" s="1" t="s">
        <v>2014</v>
      </c>
      <c r="C706" s="1" t="s">
        <v>9</v>
      </c>
      <c r="D706" s="1">
        <v>14.4124945</v>
      </c>
      <c r="E706" s="1">
        <v>120.9388438</v>
      </c>
      <c r="F706" s="1" t="s">
        <v>2015</v>
      </c>
      <c r="G706" s="3" t="str">
        <f>IFERROR(__xludf.DUMMYFUNCTION("IF(REGEXMATCH(F706, ""(?:.*,\s*)?([^,]+),\s*([^,]+),\s*Philippines.*""), TRIM(REGEXREPLACE(REGEXREPLACE(F706, ""(?:.*,\s*)?([^,]+),\s*([^,]+),\s*Philippines.*"", ""$1, $2""), ""\d+"", """")), """")"),"Imus, Cavite")</f>
        <v>Imus, Cavite</v>
      </c>
    </row>
    <row r="707">
      <c r="A707" s="1" t="s">
        <v>2016</v>
      </c>
      <c r="B707" s="1" t="s">
        <v>2017</v>
      </c>
      <c r="C707" s="1" t="s">
        <v>13</v>
      </c>
      <c r="D707" s="1">
        <v>10.6466066</v>
      </c>
      <c r="E707" s="1">
        <v>124.3812152</v>
      </c>
      <c r="F707" s="1" t="s">
        <v>2018</v>
      </c>
      <c r="G707" s="3" t="str">
        <f>IFERROR(__xludf.DUMMYFUNCTION("IF(REGEXMATCH(F707, ""(?:.*,\s*)?([^,]+),\s*([^,]+),\s*Philippines.*""), TRIM(REGEXREPLACE(REGEXREPLACE(F707, ""(?:.*,\s*)?([^,]+),\s*([^,]+),\s*Philippines.*"", ""$1, $2""), ""\d+"", """")), """")"),"San Francisco, Cebu")</f>
        <v>San Francisco, Cebu</v>
      </c>
    </row>
    <row r="708">
      <c r="A708" s="1" t="s">
        <v>2019</v>
      </c>
      <c r="B708" s="1" t="s">
        <v>2020</v>
      </c>
      <c r="C708" s="1" t="s">
        <v>9</v>
      </c>
      <c r="D708" s="1">
        <v>14.5172841</v>
      </c>
      <c r="E708" s="1">
        <v>121.2376365</v>
      </c>
      <c r="F708" s="1" t="s">
        <v>2021</v>
      </c>
      <c r="G708" s="3" t="str">
        <f>IFERROR(__xludf.DUMMYFUNCTION("IF(REGEXMATCH(F708, ""(?:.*,\s*)?([^,]+),\s*([^,]+),\s*Philippines.*""), TRIM(REGEXREPLACE(REGEXREPLACE(F708, ""(?:.*,\s*)?([^,]+),\s*([^,]+),\s*Philippines.*"", ""$1, $2""), ""\d+"", """")), """")"),"Morong, Rizal")</f>
        <v>Morong, Rizal</v>
      </c>
    </row>
    <row r="709">
      <c r="A709" s="1" t="s">
        <v>2022</v>
      </c>
      <c r="B709" s="1" t="s">
        <v>2023</v>
      </c>
      <c r="C709" s="1" t="s">
        <v>9</v>
      </c>
      <c r="D709" s="1">
        <v>14.4331575</v>
      </c>
      <c r="E709" s="1">
        <v>120.8857897</v>
      </c>
      <c r="F709" s="1" t="s">
        <v>2024</v>
      </c>
      <c r="G709" s="3" t="str">
        <f>IFERROR(__xludf.DUMMYFUNCTION("IF(REGEXMATCH(F709, ""(?:.*,\s*)?([^,]+),\s*([^,]+),\s*Philippines.*""), TRIM(REGEXREPLACE(REGEXREPLACE(F709, ""(?:.*,\s*)?([^,]+),\s*([^,]+),\s*Philippines.*"", ""$1, $2""), ""\d+"", """")), """")"),"Noveleta, Cavite")</f>
        <v>Noveleta, Cavite</v>
      </c>
    </row>
    <row r="710">
      <c r="A710" s="1" t="s">
        <v>2025</v>
      </c>
      <c r="B710" s="1" t="s">
        <v>2026</v>
      </c>
      <c r="C710" s="1" t="s">
        <v>13</v>
      </c>
      <c r="D710" s="1">
        <v>14.8404868</v>
      </c>
      <c r="E710" s="1">
        <v>121.9683474</v>
      </c>
      <c r="F710" s="1" t="s">
        <v>2027</v>
      </c>
      <c r="G710" s="3" t="str">
        <f>IFERROR(__xludf.DUMMYFUNCTION("IF(REGEXMATCH(F710, ""(?:.*,\s*)?([^,]+),\s*([^,]+),\s*Philippines.*""), TRIM(REGEXREPLACE(REGEXREPLACE(F710, ""(?:.*,\s*)?([^,]+),\s*([^,]+),\s*Philippines.*"", ""$1, $2""), ""\d+"", """")), """")"),"Burdeos, Quezon")</f>
        <v>Burdeos, Quezon</v>
      </c>
    </row>
    <row r="711">
      <c r="A711" s="1" t="s">
        <v>2028</v>
      </c>
      <c r="B711" s="1" t="s">
        <v>2029</v>
      </c>
      <c r="C711" s="1" t="s">
        <v>13</v>
      </c>
      <c r="D711" s="1">
        <v>14.758375</v>
      </c>
      <c r="E711" s="1">
        <v>121.6285703</v>
      </c>
      <c r="F711" s="1" t="s">
        <v>2030</v>
      </c>
      <c r="G711" s="3" t="str">
        <f>IFERROR(__xludf.DUMMYFUNCTION("IF(REGEXMATCH(F711, ""(?:.*,\s*)?([^,]+),\s*([^,]+),\s*Philippines.*""), TRIM(REGEXREPLACE(REGEXREPLACE(F711, ""(?:.*,\s*)?([^,]+),\s*([^,]+),\s*Philippines.*"", ""$1, $2""), ""\d+"", """")), """")"),"General Nakar, Quezon")</f>
        <v>General Nakar, Quezon</v>
      </c>
    </row>
    <row r="712">
      <c r="A712" s="1" t="s">
        <v>2031</v>
      </c>
      <c r="B712" s="1" t="s">
        <v>580</v>
      </c>
      <c r="C712" s="1" t="s">
        <v>13</v>
      </c>
      <c r="D712" s="1">
        <v>13.5220761</v>
      </c>
      <c r="E712" s="1">
        <v>122.4068101</v>
      </c>
      <c r="F712" s="1" t="s">
        <v>2032</v>
      </c>
      <c r="G712" s="3" t="str">
        <f>IFERROR(__xludf.DUMMYFUNCTION("IF(REGEXMATCH(F712, ""(?:.*,\s*)?([^,]+),\s*([^,]+),\s*Philippines.*""), TRIM(REGEXREPLACE(REGEXREPLACE(F712, ""(?:.*,\s*)?([^,]+),\s*([^,]+),\s*Philippines.*"", ""$1, $2""), ""\d+"", """")), """")"),"Mulanay, Quezon")</f>
        <v>Mulanay, Quezon</v>
      </c>
    </row>
    <row r="713">
      <c r="A713" s="1" t="s">
        <v>2033</v>
      </c>
      <c r="B713" s="1" t="s">
        <v>2034</v>
      </c>
      <c r="C713" s="1" t="s">
        <v>13</v>
      </c>
      <c r="D713" s="1">
        <v>14.5984595</v>
      </c>
      <c r="E713" s="1">
        <v>121.1301373</v>
      </c>
      <c r="F713" s="1" t="s">
        <v>2035</v>
      </c>
      <c r="G713" s="3" t="str">
        <f>IFERROR(__xludf.DUMMYFUNCTION("IF(REGEXMATCH(F713, ""(?:.*,\s*)?([^,]+),\s*([^,]+),\s*Philippines.*""), TRIM(REGEXREPLACE(REGEXREPLACE(F713, ""(?:.*,\s*)?([^,]+),\s*([^,]+),\s*Philippines.*"", ""$1, $2""), ""\d+"", """")), """")"),"Antipolo, Rizal")</f>
        <v>Antipolo, Rizal</v>
      </c>
    </row>
    <row r="714">
      <c r="A714" s="1" t="s">
        <v>2036</v>
      </c>
      <c r="B714" s="1" t="s">
        <v>2037</v>
      </c>
      <c r="C714" s="1" t="s">
        <v>13</v>
      </c>
      <c r="D714" s="1">
        <v>14.2179022</v>
      </c>
      <c r="E714" s="1">
        <v>120.9963337</v>
      </c>
      <c r="F714" s="1" t="s">
        <v>2038</v>
      </c>
      <c r="G714" s="3" t="str">
        <f>IFERROR(__xludf.DUMMYFUNCTION("IF(REGEXMATCH(F714, ""(?:.*,\s*)?([^,]+),\s*([^,]+),\s*Philippines.*""), TRIM(REGEXREPLACE(REGEXREPLACE(F714, ""(?:.*,\s*)?([^,]+),\s*([^,]+),\s*Philippines.*"", ""$1, $2""), ""\d+"", """")), """")"),"Silang, Cavite")</f>
        <v>Silang, Cavite</v>
      </c>
    </row>
    <row r="715">
      <c r="A715" s="1" t="s">
        <v>2039</v>
      </c>
      <c r="B715" s="1" t="s">
        <v>2040</v>
      </c>
      <c r="C715" s="1" t="s">
        <v>13</v>
      </c>
      <c r="D715" s="1">
        <v>13.8022587</v>
      </c>
      <c r="E715" s="1">
        <v>122.5109222</v>
      </c>
      <c r="F715" s="1" t="s">
        <v>2041</v>
      </c>
      <c r="G715" s="3" t="str">
        <f>IFERROR(__xludf.DUMMYFUNCTION("IF(REGEXMATCH(F715, ""(?:.*,\s*)?([^,]+),\s*([^,]+),\s*Philippines.*""), TRIM(REGEXREPLACE(REGEXREPLACE(F715, ""(?:.*,\s*)?([^,]+),\s*([^,]+),\s*Philippines.*"", ""$1, $2""), ""\d+"", """")), """")"),"Guinayangan, Quezon")</f>
        <v>Guinayangan, Quezon</v>
      </c>
    </row>
    <row r="716">
      <c r="A716" s="1" t="s">
        <v>2042</v>
      </c>
      <c r="B716" s="1" t="s">
        <v>2043</v>
      </c>
      <c r="C716" s="1" t="s">
        <v>9</v>
      </c>
      <c r="D716" s="1">
        <v>14.187417</v>
      </c>
      <c r="E716" s="1">
        <v>121.3984705</v>
      </c>
      <c r="F716" s="1" t="s">
        <v>2044</v>
      </c>
      <c r="G716" s="3" t="str">
        <f>IFERROR(__xludf.DUMMYFUNCTION("IF(REGEXMATCH(F716, ""(?:.*,\s*)?([^,]+),\s*([^,]+),\s*Philippines.*""), TRIM(REGEXREPLACE(REGEXREPLACE(F716, ""(?:.*,\s*)?([^,]+),\s*([^,]+),\s*Philippines.*"", ""$1, $2""), ""\d+"", """")), """")"),"Nagcarlan, Laguna")</f>
        <v>Nagcarlan, Laguna</v>
      </c>
    </row>
    <row r="717">
      <c r="A717" s="1" t="s">
        <v>2045</v>
      </c>
      <c r="B717" s="1" t="s">
        <v>2046</v>
      </c>
      <c r="C717" s="1" t="s">
        <v>13</v>
      </c>
      <c r="D717" s="1">
        <v>13.7087155</v>
      </c>
      <c r="E717" s="1">
        <v>121.4370471</v>
      </c>
      <c r="F717" s="1" t="s">
        <v>2047</v>
      </c>
      <c r="G717" s="3" t="str">
        <f>IFERROR(__xludf.DUMMYFUNCTION("IF(REGEXMATCH(F717, ""(?:.*,\s*)?([^,]+),\s*([^,]+),\s*Philippines.*""), TRIM(REGEXREPLACE(REGEXREPLACE(F717, ""(?:.*,\s*)?([^,]+),\s*([^,]+),\s*Philippines.*"", ""$1, $2""), ""\d+"", """")), """")"),"San Juan, Batangas")</f>
        <v>San Juan, Batangas</v>
      </c>
    </row>
    <row r="718">
      <c r="A718" s="1" t="s">
        <v>2048</v>
      </c>
      <c r="B718" s="1" t="s">
        <v>2049</v>
      </c>
      <c r="C718" s="1" t="s">
        <v>13</v>
      </c>
      <c r="D718" s="1">
        <v>14.1115828</v>
      </c>
      <c r="E718" s="1">
        <v>121.6111949</v>
      </c>
      <c r="F718" s="1" t="s">
        <v>2050</v>
      </c>
      <c r="G718" s="3" t="str">
        <f>IFERROR(__xludf.DUMMYFUNCTION("IF(REGEXMATCH(F718, ""(?:.*,\s*)?([^,]+),\s*([^,]+),\s*Philippines.*""), TRIM(REGEXREPLACE(REGEXREPLACE(F718, ""(?:.*,\s*)?([^,]+),\s*([^,]+),\s*Philippines.*"", ""$1, $2""), ""\d+"", """")), """")"),"Lucban, Quezon")</f>
        <v>Lucban, Quezon</v>
      </c>
    </row>
    <row r="719">
      <c r="A719" s="1" t="s">
        <v>2051</v>
      </c>
      <c r="B719" s="1" t="s">
        <v>2052</v>
      </c>
      <c r="C719" s="1" t="s">
        <v>13</v>
      </c>
      <c r="D719" s="1">
        <v>14.3149106</v>
      </c>
      <c r="E719" s="1">
        <v>120.7369721</v>
      </c>
      <c r="F719" s="1" t="s">
        <v>2053</v>
      </c>
      <c r="G719" s="3" t="str">
        <f>IFERROR(__xludf.DUMMYFUNCTION("IF(REGEXMATCH(F719, ""(?:.*,\s*)?([^,]+),\s*([^,]+),\s*Philippines.*""), TRIM(REGEXREPLACE(REGEXREPLACE(F719, ""(?:.*,\s*)?([^,]+),\s*([^,]+),\s*Philippines.*"", ""$1, $2""), ""\d+"", """")), """")"),"Naic, Cavite")</f>
        <v>Naic, Cavite</v>
      </c>
    </row>
    <row r="720">
      <c r="A720" s="1" t="s">
        <v>2054</v>
      </c>
      <c r="B720" s="1" t="s">
        <v>2055</v>
      </c>
      <c r="C720" s="1" t="s">
        <v>13</v>
      </c>
      <c r="D720" s="1">
        <v>14.2955625</v>
      </c>
      <c r="E720" s="1">
        <v>120.7943281</v>
      </c>
      <c r="F720" s="1" t="s">
        <v>2056</v>
      </c>
      <c r="G720" s="3" t="str">
        <f>IFERROR(__xludf.DUMMYFUNCTION("IF(REGEXMATCH(F720, ""(?:.*,\s*)?([^,]+),\s*([^,]+),\s*Philippines.*""), TRIM(REGEXREPLACE(REGEXREPLACE(F720, ""(?:.*,\s*)?([^,]+),\s*([^,]+),\s*Philippines.*"", ""$1, $2""), ""\d+"", """")), """")"),"Naic, Cavite")</f>
        <v>Naic, Cavite</v>
      </c>
    </row>
    <row r="721">
      <c r="A721" s="1" t="s">
        <v>2057</v>
      </c>
      <c r="B721" s="1" t="s">
        <v>556</v>
      </c>
      <c r="C721" s="1" t="s">
        <v>9</v>
      </c>
      <c r="D721" s="1">
        <v>14.3200494</v>
      </c>
      <c r="E721" s="1">
        <v>120.7628607</v>
      </c>
      <c r="F721" s="1" t="s">
        <v>2058</v>
      </c>
      <c r="G721" s="3" t="str">
        <f>IFERROR(__xludf.DUMMYFUNCTION("IF(REGEXMATCH(F721, ""(?:.*,\s*)?([^,]+),\s*([^,]+),\s*Philippines.*""), TRIM(REGEXREPLACE(REGEXREPLACE(F721, ""(?:.*,\s*)?([^,]+),\s*([^,]+),\s*Philippines.*"", ""$1, $2""), ""\d+"", """")), """")"),"Naic, Cavite")</f>
        <v>Naic, Cavite</v>
      </c>
    </row>
    <row r="722">
      <c r="A722" s="1" t="s">
        <v>2059</v>
      </c>
      <c r="B722" s="1" t="s">
        <v>2060</v>
      </c>
      <c r="C722" s="1" t="s">
        <v>9</v>
      </c>
      <c r="D722" s="1">
        <v>14.323851</v>
      </c>
      <c r="E722" s="1">
        <v>120.7708773</v>
      </c>
      <c r="F722" s="1" t="s">
        <v>2061</v>
      </c>
      <c r="G722" s="3" t="str">
        <f>IFERROR(__xludf.DUMMYFUNCTION("IF(REGEXMATCH(F722, ""(?:.*,\s*)?([^,]+),\s*([^,]+),\s*Philippines.*""), TRIM(REGEXREPLACE(REGEXREPLACE(F722, ""(?:.*,\s*)?([^,]+),\s*([^,]+),\s*Philippines.*"", ""$1, $2""), ""\d+"", """")), """")"),"Naic, Cavite")</f>
        <v>Naic, Cavite</v>
      </c>
    </row>
    <row r="723">
      <c r="A723" s="1" t="s">
        <v>2062</v>
      </c>
      <c r="B723" s="1" t="s">
        <v>2063</v>
      </c>
      <c r="C723" s="1" t="s">
        <v>9</v>
      </c>
      <c r="D723" s="1">
        <v>14.0524831</v>
      </c>
      <c r="E723" s="1">
        <v>120.6680413</v>
      </c>
      <c r="F723" s="1" t="s">
        <v>2064</v>
      </c>
      <c r="G723" s="3" t="str">
        <f>IFERROR(__xludf.DUMMYFUNCTION("IF(REGEXMATCH(F723, ""(?:.*,\s*)?([^,]+),\s*([^,]+),\s*Philippines.*""), TRIM(REGEXREPLACE(REGEXREPLACE(F723, ""(?:.*,\s*)?([^,]+),\s*([^,]+),\s*Philippines.*"", ""$1, $2""), ""\d+"", """")), """")"),"Nasugbu, Batangas")</f>
        <v>Nasugbu, Batangas</v>
      </c>
    </row>
    <row r="724">
      <c r="A724" s="1" t="s">
        <v>2065</v>
      </c>
      <c r="B724" s="1" t="s">
        <v>957</v>
      </c>
      <c r="C724" s="1" t="s">
        <v>13</v>
      </c>
      <c r="D724" s="1">
        <v>15.323996</v>
      </c>
      <c r="E724" s="1">
        <v>120.6559609</v>
      </c>
      <c r="F724" s="1" t="s">
        <v>2066</v>
      </c>
      <c r="G724" s="3" t="str">
        <f>IFERROR(__xludf.DUMMYFUNCTION("IF(REGEXMATCH(F724, ""(?:.*,\s*)?([^,]+),\s*([^,]+),\s*Philippines.*""), TRIM(REGEXREPLACE(REGEXREPLACE(F724, ""(?:.*,\s*)?([^,]+),\s*([^,]+),\s*Philippines.*"", ""$1, $2""), ""\d+"", """")), """")"),"Concepcion, Tarlac")</f>
        <v>Concepcion, Tarlac</v>
      </c>
    </row>
    <row r="725">
      <c r="A725" s="1" t="s">
        <v>2067</v>
      </c>
      <c r="B725" s="1" t="s">
        <v>2068</v>
      </c>
      <c r="C725" s="1" t="s">
        <v>9</v>
      </c>
      <c r="D725" s="1">
        <v>14.3274892</v>
      </c>
      <c r="E725" s="1">
        <v>120.9403585</v>
      </c>
      <c r="F725" s="1" t="s">
        <v>2069</v>
      </c>
      <c r="G725" s="3" t="str">
        <f>IFERROR(__xludf.DUMMYFUNCTION("IF(REGEXMATCH(F725, ""(?:.*,\s*)?([^,]+),\s*([^,]+),\s*Philippines.*""), TRIM(REGEXREPLACE(REGEXREPLACE(F725, ""(?:.*,\s*)?([^,]+),\s*([^,]+),\s*Philippines.*"", ""$1, $2""), ""\d+"", """")), """")"),"Dasmariñas, Cavite")</f>
        <v>Dasmariñas, Cavite</v>
      </c>
    </row>
    <row r="726">
      <c r="A726" s="1" t="s">
        <v>2070</v>
      </c>
      <c r="B726" s="1" t="s">
        <v>2071</v>
      </c>
      <c r="C726" s="1" t="s">
        <v>9</v>
      </c>
      <c r="D726" s="1">
        <v>14.3274892</v>
      </c>
      <c r="E726" s="1">
        <v>120.9403585</v>
      </c>
      <c r="F726" s="1" t="s">
        <v>2069</v>
      </c>
      <c r="G726" s="3" t="str">
        <f>IFERROR(__xludf.DUMMYFUNCTION("IF(REGEXMATCH(F726, ""(?:.*,\s*)?([^,]+),\s*([^,]+),\s*Philippines.*""), TRIM(REGEXREPLACE(REGEXREPLACE(F726, ""(?:.*,\s*)?([^,]+),\s*([^,]+),\s*Philippines.*"", ""$1, $2""), ""\d+"", """")), """")"),"Dasmariñas, Cavite")</f>
        <v>Dasmariñas, Cavite</v>
      </c>
    </row>
    <row r="727">
      <c r="A727" s="1" t="s">
        <v>2072</v>
      </c>
      <c r="B727" s="1" t="s">
        <v>2073</v>
      </c>
      <c r="C727" s="1" t="s">
        <v>9</v>
      </c>
      <c r="D727" s="1">
        <v>14.4901713</v>
      </c>
      <c r="E727" s="1">
        <v>121.2982125</v>
      </c>
      <c r="F727" s="1" t="s">
        <v>2074</v>
      </c>
      <c r="G727" s="3" t="str">
        <f>IFERROR(__xludf.DUMMYFUNCTION("IF(REGEXMATCH(F727, ""(?:.*,\s*)?([^,]+),\s*([^,]+),\s*Philippines.*""), TRIM(REGEXREPLACE(REGEXREPLACE(F727, ""(?:.*,\s*)?([^,]+),\s*([^,]+),\s*Philippines.*"", ""$1, $2""), ""\d+"", """")), """")"),"Pililla, Rizal")</f>
        <v>Pililla, Rizal</v>
      </c>
    </row>
    <row r="728">
      <c r="A728" s="1" t="s">
        <v>2075</v>
      </c>
      <c r="B728" s="1" t="s">
        <v>2076</v>
      </c>
      <c r="C728" s="1" t="s">
        <v>9</v>
      </c>
      <c r="D728" s="1">
        <v>14.3405476</v>
      </c>
      <c r="E728" s="1">
        <v>121.0621301</v>
      </c>
      <c r="F728" s="1" t="s">
        <v>2077</v>
      </c>
      <c r="G728" s="3" t="str">
        <f>IFERROR(__xludf.DUMMYFUNCTION("IF(REGEXMATCH(F728, ""(?:.*,\s*)?([^,]+),\s*([^,]+),\s*Philippines.*""), TRIM(REGEXREPLACE(REGEXREPLACE(F728, ""(?:.*,\s*)?([^,]+),\s*([^,]+),\s*Philippines.*"", ""$1, $2""), ""\d+"", """")), """")"),"Biñan, Laguna")</f>
        <v>Biñan, Laguna</v>
      </c>
    </row>
    <row r="729">
      <c r="A729" s="1" t="s">
        <v>2078</v>
      </c>
      <c r="B729" s="1" t="s">
        <v>2079</v>
      </c>
      <c r="C729" s="1" t="s">
        <v>9</v>
      </c>
      <c r="D729" s="1">
        <v>14.4104204</v>
      </c>
      <c r="E729" s="1">
        <v>120.881473</v>
      </c>
      <c r="F729" s="1" t="s">
        <v>2080</v>
      </c>
      <c r="G729" s="3" t="str">
        <f>IFERROR(__xludf.DUMMYFUNCTION("IF(REGEXMATCH(F729, ""(?:.*,\s*)?([^,]+),\s*([^,]+),\s*Philippines.*""), TRIM(REGEXREPLACE(REGEXREPLACE(F729, ""(?:.*,\s*)?([^,]+),\s*([^,]+),\s*Philippines.*"", ""$1, $2""), ""\d+"", """")), """")"),"General Trias, Cavite")</f>
        <v>General Trias, Cavite</v>
      </c>
    </row>
    <row r="730">
      <c r="A730" s="1" t="s">
        <v>2081</v>
      </c>
      <c r="B730" s="1" t="s">
        <v>2082</v>
      </c>
      <c r="C730" s="1" t="s">
        <v>9</v>
      </c>
      <c r="D730" s="1">
        <v>14.3172093</v>
      </c>
      <c r="E730" s="1">
        <v>120.9435497</v>
      </c>
      <c r="F730" s="1" t="s">
        <v>2083</v>
      </c>
      <c r="G730" s="3" t="str">
        <f>IFERROR(__xludf.DUMMYFUNCTION("IF(REGEXMATCH(F730, ""(?:.*,\s*)?([^,]+),\s*([^,]+),\s*Philippines.*""), TRIM(REGEXREPLACE(REGEXREPLACE(F730, ""(?:.*,\s*)?([^,]+),\s*([^,]+),\s*Philippines.*"", ""$1, $2""), ""\d+"", """")), """")"),"San Agustin II, Cavite")</f>
        <v>San Agustin II, Cavite</v>
      </c>
    </row>
    <row r="731">
      <c r="A731" s="1" t="s">
        <v>2084</v>
      </c>
      <c r="B731" s="1" t="s">
        <v>2085</v>
      </c>
      <c r="C731" s="1" t="s">
        <v>9</v>
      </c>
      <c r="D731" s="1">
        <v>14.279591</v>
      </c>
      <c r="E731" s="1">
        <v>120.9653608</v>
      </c>
      <c r="F731" s="1" t="s">
        <v>2086</v>
      </c>
      <c r="G731" s="3" t="str">
        <f>IFERROR(__xludf.DUMMYFUNCTION("IF(REGEXMATCH(F731, ""(?:.*,\s*)?([^,]+),\s*([^,]+),\s*Philippines.*""), TRIM(REGEXREPLACE(REGEXREPLACE(F731, ""(?:.*,\s*)?([^,]+),\s*([^,]+),\s*Philippines.*"", ""$1, $2""), ""\d+"", """")), """")"),"Dasmariñas, Cavite")</f>
        <v>Dasmariñas, Cavite</v>
      </c>
    </row>
    <row r="732">
      <c r="A732" s="1" t="s">
        <v>2087</v>
      </c>
      <c r="B732" s="1" t="s">
        <v>2088</v>
      </c>
      <c r="C732" s="1" t="s">
        <v>9</v>
      </c>
      <c r="D732" s="1">
        <v>14.2824645</v>
      </c>
      <c r="E732" s="1">
        <v>120.8654586</v>
      </c>
      <c r="F732" s="1" t="s">
        <v>2089</v>
      </c>
      <c r="G732" s="3" t="str">
        <f>IFERROR(__xludf.DUMMYFUNCTION("IF(REGEXMATCH(F732, ""(?:.*,\s*)?([^,]+),\s*([^,]+),\s*Philippines.*""), TRIM(REGEXREPLACE(REGEXREPLACE(F732, ""(?:.*,\s*)?([^,]+),\s*([^,]+),\s*Philippines.*"", ""$1, $2""), ""\d+"", """")), """")"),"Trece Martires City, Cavite")</f>
        <v>Trece Martires City, Cavite</v>
      </c>
    </row>
    <row r="733">
      <c r="A733" s="1" t="s">
        <v>2090</v>
      </c>
      <c r="B733" s="1" t="s">
        <v>2091</v>
      </c>
      <c r="C733" s="1" t="s">
        <v>9</v>
      </c>
      <c r="D733" s="1">
        <v>14.3170995</v>
      </c>
      <c r="E733" s="1">
        <v>121.0985823</v>
      </c>
      <c r="F733" s="1" t="s">
        <v>2092</v>
      </c>
      <c r="G733" s="3" t="str">
        <f>IFERROR(__xludf.DUMMYFUNCTION("IF(REGEXMATCH(F733, ""(?:.*,\s*)?([^,]+),\s*([^,]+),\s*Philippines.*""), TRIM(REGEXREPLACE(REGEXREPLACE(F733, ""(?:.*,\s*)?([^,]+),\s*([^,]+),\s*Philippines.*"", ""$1, $2""), ""\d+"", """")), """")"),"City of Santa Rosa, Laguna")</f>
        <v>City of Santa Rosa, Laguna</v>
      </c>
    </row>
    <row r="734">
      <c r="A734" s="1" t="s">
        <v>2093</v>
      </c>
      <c r="B734" s="1" t="s">
        <v>2094</v>
      </c>
      <c r="C734" s="1" t="s">
        <v>13</v>
      </c>
      <c r="D734" s="1">
        <v>14.1880763</v>
      </c>
      <c r="E734" s="1">
        <v>121.2825778</v>
      </c>
      <c r="F734" s="1" t="s">
        <v>2095</v>
      </c>
      <c r="G734" s="3" t="str">
        <f>IFERROR(__xludf.DUMMYFUNCTION("IF(REGEXMATCH(F734, ""(?:.*,\s*)?([^,]+),\s*([^,]+),\s*Philippines.*""), TRIM(REGEXREPLACE(REGEXREPLACE(F734, ""(?:.*,\s*)?([^,]+),\s*([^,]+),\s*Philippines.*"", ""$1, $2""), ""\d+"", """")), """")"),"Bay, Laguna")</f>
        <v>Bay, Laguna</v>
      </c>
    </row>
    <row r="735">
      <c r="A735" s="1" t="s">
        <v>2096</v>
      </c>
      <c r="B735" s="1" t="s">
        <v>2097</v>
      </c>
      <c r="C735" s="1" t="s">
        <v>9</v>
      </c>
      <c r="D735" s="1">
        <v>14.7381989</v>
      </c>
      <c r="E735" s="1">
        <v>121.6444808</v>
      </c>
      <c r="F735" s="1" t="s">
        <v>2098</v>
      </c>
      <c r="G735" s="3" t="str">
        <f>IFERROR(__xludf.DUMMYFUNCTION("IF(REGEXMATCH(F735, ""(?:.*,\s*)?([^,]+),\s*([^,]+),\s*Philippines.*""), TRIM(REGEXREPLACE(REGEXREPLACE(F735, ""(?:.*,\s*)?([^,]+),\s*([^,]+),\s*Philippines.*"", ""$1, $2""), ""\d+"", """")), """")"),"Infanta, Quezon")</f>
        <v>Infanta, Quezon</v>
      </c>
    </row>
    <row r="736">
      <c r="A736" s="1" t="s">
        <v>2099</v>
      </c>
      <c r="B736" s="1" t="s">
        <v>2100</v>
      </c>
      <c r="C736" s="1" t="s">
        <v>9</v>
      </c>
      <c r="D736" s="1">
        <v>14.4371651</v>
      </c>
      <c r="E736" s="1">
        <v>120.880794</v>
      </c>
      <c r="F736" s="1" t="s">
        <v>2101</v>
      </c>
      <c r="G736" s="3" t="str">
        <f>IFERROR(__xludf.DUMMYFUNCTION("IF(REGEXMATCH(F736, ""(?:.*,\s*)?([^,]+),\s*([^,]+),\s*Philippines.*""), TRIM(REGEXREPLACE(REGEXREPLACE(F736, ""(?:.*,\s*)?([^,]+),\s*([^,]+),\s*Philippines.*"", ""$1, $2""), ""\d+"", """")), """")"),"Noveleta, Cavite")</f>
        <v>Noveleta, Cavite</v>
      </c>
    </row>
    <row r="737">
      <c r="A737" s="1" t="s">
        <v>2102</v>
      </c>
      <c r="B737" s="1" t="s">
        <v>2103</v>
      </c>
      <c r="C737" s="1" t="s">
        <v>9</v>
      </c>
      <c r="D737" s="1">
        <v>14.301747</v>
      </c>
      <c r="E737" s="1">
        <v>120.9567294</v>
      </c>
      <c r="F737" s="1" t="s">
        <v>2104</v>
      </c>
      <c r="G737" s="3" t="str">
        <f>IFERROR(__xludf.DUMMYFUNCTION("IF(REGEXMATCH(F737, ""(?:.*,\s*)?([^,]+),\s*([^,]+),\s*Philippines.*""), TRIM(REGEXREPLACE(REGEXREPLACE(F737, ""(?:.*,\s*)?([^,]+),\s*([^,]+),\s*Philippines.*"", ""$1, $2""), ""\d+"", """")), """")"),"Dasmariñas, Cavite")</f>
        <v>Dasmariñas, Cavite</v>
      </c>
    </row>
    <row r="738">
      <c r="A738" s="1" t="s">
        <v>2105</v>
      </c>
      <c r="B738" s="1" t="s">
        <v>2106</v>
      </c>
      <c r="C738" s="1" t="s">
        <v>9</v>
      </c>
      <c r="D738" s="1">
        <v>12.1856365</v>
      </c>
      <c r="E738" s="1">
        <v>124.4078297</v>
      </c>
      <c r="F738" s="1" t="s">
        <v>2107</v>
      </c>
      <c r="G738" s="3" t="str">
        <f>IFERROR(__xludf.DUMMYFUNCTION("IF(REGEXMATCH(F738, ""(?:.*,\s*)?([^,]+),\s*([^,]+),\s*Philippines.*""), TRIM(REGEXREPLACE(REGEXREPLACE(F738, ""(?:.*,\s*)?([^,]+),\s*([^,]+),\s*Philippines.*"", ""$1, $2""), ""\d+"", """")), """")"),"Calbayog, Samar")</f>
        <v>Calbayog, Samar</v>
      </c>
    </row>
    <row r="739">
      <c r="A739" s="1" t="s">
        <v>2108</v>
      </c>
      <c r="B739" s="1" t="s">
        <v>2109</v>
      </c>
      <c r="C739" s="1" t="s">
        <v>9</v>
      </c>
      <c r="D739" s="1">
        <v>14.1782167</v>
      </c>
      <c r="E739" s="1">
        <v>121.1362266</v>
      </c>
      <c r="F739" s="1" t="s">
        <v>2110</v>
      </c>
      <c r="G739" s="3" t="str">
        <f>IFERROR(__xludf.DUMMYFUNCTION("IF(REGEXMATCH(F739, ""(?:.*,\s*)?([^,]+),\s*([^,]+),\s*Philippines.*""), TRIM(REGEXREPLACE(REGEXREPLACE(F739, ""(?:.*,\s*)?([^,]+),\s*([^,]+),\s*Philippines.*"", ""$1, $2""), ""\d+"", """")), """")"),"Calamba, Laguna")</f>
        <v>Calamba, Laguna</v>
      </c>
    </row>
    <row r="740">
      <c r="A740" s="1" t="s">
        <v>2111</v>
      </c>
      <c r="B740" s="1" t="s">
        <v>2112</v>
      </c>
      <c r="C740" s="1" t="s">
        <v>9</v>
      </c>
      <c r="D740" s="1">
        <v>13.9558</v>
      </c>
      <c r="E740" s="1">
        <v>121.1623657</v>
      </c>
      <c r="F740" s="1" t="s">
        <v>2113</v>
      </c>
      <c r="G740" s="3" t="str">
        <f>IFERROR(__xludf.DUMMYFUNCTION("IF(REGEXMATCH(F740, ""(?:.*,\s*)?([^,]+),\s*([^,]+),\s*Philippines.*""), TRIM(REGEXREPLACE(REGEXREPLACE(F740, ""(?:.*,\s*)?([^,]+),\s*([^,]+),\s*Philippines.*"", ""$1, $2""), ""\d+"", """")), """")"),"Lipa City, Batangas")</f>
        <v>Lipa City, Batangas</v>
      </c>
    </row>
    <row r="741">
      <c r="A741" s="1" t="s">
        <v>2114</v>
      </c>
      <c r="B741" s="1" t="s">
        <v>2115</v>
      </c>
      <c r="C741" s="1" t="s">
        <v>9</v>
      </c>
      <c r="D741" s="1">
        <v>14.171309</v>
      </c>
      <c r="E741" s="1">
        <v>121.137401</v>
      </c>
      <c r="F741" s="1" t="s">
        <v>2116</v>
      </c>
      <c r="G741" s="3" t="str">
        <f>IFERROR(__xludf.DUMMYFUNCTION("IF(REGEXMATCH(F741, ""(?:.*,\s*)?([^,]+),\s*([^,]+),\s*Philippines.*""), TRIM(REGEXREPLACE(REGEXREPLACE(F741, ""(?:.*,\s*)?([^,]+),\s*([^,]+),\s*Philippines.*"", ""$1, $2""), ""\d+"", """")), """")"),"Calamba, Laguna")</f>
        <v>Calamba, Laguna</v>
      </c>
    </row>
    <row r="742">
      <c r="A742" s="1" t="s">
        <v>2117</v>
      </c>
      <c r="B742" s="1" t="s">
        <v>2118</v>
      </c>
      <c r="C742" s="1" t="s">
        <v>9</v>
      </c>
      <c r="D742" s="1">
        <v>14.6908426</v>
      </c>
      <c r="E742" s="1">
        <v>121.1148252</v>
      </c>
      <c r="F742" s="1" t="s">
        <v>2119</v>
      </c>
      <c r="G742" s="3" t="str">
        <f>IFERROR(__xludf.DUMMYFUNCTION("IF(REGEXMATCH(F742, ""(?:.*,\s*)?([^,]+),\s*([^,]+),\s*Philippines.*""), TRIM(REGEXREPLACE(REGEXREPLACE(F742, ""(?:.*,\s*)?([^,]+),\s*([^,]+),\s*Philippines.*"", ""$1, $2""), ""\d+"", """")), """")"),"San Mateo, Rizal")</f>
        <v>San Mateo, Rizal</v>
      </c>
    </row>
    <row r="743">
      <c r="A743" s="1" t="s">
        <v>2120</v>
      </c>
      <c r="B743" s="1" t="s">
        <v>2121</v>
      </c>
      <c r="C743" s="1" t="s">
        <v>9</v>
      </c>
      <c r="D743" s="1">
        <v>14.2043349</v>
      </c>
      <c r="E743" s="1">
        <v>121.0796345</v>
      </c>
      <c r="F743" s="1" t="s">
        <v>2122</v>
      </c>
      <c r="G743" s="3" t="str">
        <f>IFERROR(__xludf.DUMMYFUNCTION("IF(REGEXMATCH(F743, ""(?:.*,\s*)?([^,]+),\s*([^,]+),\s*Philippines.*""), TRIM(REGEXREPLACE(REGEXREPLACE(F743, ""(?:.*,\s*)?([^,]+),\s*([^,]+),\s*Philippines.*"", ""$1, $2""), ""\d+"", """")), """")"),"Calamba, Laguna")</f>
        <v>Calamba, Laguna</v>
      </c>
    </row>
    <row r="744">
      <c r="A744" s="1" t="s">
        <v>2123</v>
      </c>
      <c r="B744" s="1" t="s">
        <v>2124</v>
      </c>
      <c r="C744" s="1" t="s">
        <v>13</v>
      </c>
      <c r="D744" s="1">
        <v>14.1347598</v>
      </c>
      <c r="E744" s="1">
        <v>120.9506512</v>
      </c>
      <c r="F744" s="1" t="s">
        <v>2125</v>
      </c>
      <c r="G744" s="3" t="str">
        <f>IFERROR(__xludf.DUMMYFUNCTION("IF(REGEXMATCH(F744, ""(?:.*,\s*)?([^,]+),\s*([^,]+),\s*Philippines.*""), TRIM(REGEXREPLACE(REGEXREPLACE(F744, ""(?:.*,\s*)?([^,]+),\s*([^,]+),\s*Philippines.*"", ""$1, $2""), ""\d+"", """")), """")"),"Amadeo, Cavite")</f>
        <v>Amadeo, Cavite</v>
      </c>
    </row>
    <row r="745">
      <c r="A745" s="1" t="s">
        <v>2126</v>
      </c>
      <c r="B745" s="1" t="s">
        <v>2127</v>
      </c>
      <c r="C745" s="1" t="s">
        <v>9</v>
      </c>
      <c r="D745" s="1">
        <v>13.8804529</v>
      </c>
      <c r="E745" s="1">
        <v>121.1045007</v>
      </c>
      <c r="F745" s="1" t="s">
        <v>2128</v>
      </c>
      <c r="G745" s="3" t="str">
        <f>IFERROR(__xludf.DUMMYFUNCTION("IF(REGEXMATCH(F745, ""(?:.*,\s*)?([^,]+),\s*([^,]+),\s*Philippines.*""), TRIM(REGEXREPLACE(REGEXREPLACE(F745, ""(?:.*,\s*)?([^,]+),\s*([^,]+),\s*Philippines.*"", ""$1, $2""), ""\d+"", """")), """")"),"Batangas City, Batangas")</f>
        <v>Batangas City, Batangas</v>
      </c>
    </row>
    <row r="746">
      <c r="A746" s="1" t="s">
        <v>2129</v>
      </c>
      <c r="B746" s="1" t="s">
        <v>2130</v>
      </c>
      <c r="C746" s="1" t="s">
        <v>13</v>
      </c>
      <c r="D746" s="1">
        <v>14.6380623</v>
      </c>
      <c r="E746" s="1">
        <v>121.240772</v>
      </c>
      <c r="F746" s="1" t="s">
        <v>2131</v>
      </c>
      <c r="G746" s="3" t="str">
        <f>IFERROR(__xludf.DUMMYFUNCTION("IF(REGEXMATCH(F746, ""(?:.*,\s*)?([^,]+),\s*([^,]+),\s*Philippines.*""), TRIM(REGEXREPLACE(REGEXREPLACE(F746, ""(?:.*,\s*)?([^,]+),\s*([^,]+),\s*Philippines.*"", ""$1, $2""), ""\d+"", """")), """")"),"Antipolo, Rizal")</f>
        <v>Antipolo, Rizal</v>
      </c>
    </row>
    <row r="747">
      <c r="A747" s="1" t="s">
        <v>2132</v>
      </c>
      <c r="B747" s="1" t="s">
        <v>2133</v>
      </c>
      <c r="C747" s="1" t="s">
        <v>9</v>
      </c>
      <c r="D747" s="1">
        <v>13.957475</v>
      </c>
      <c r="E747" s="1">
        <v>121.3275696</v>
      </c>
      <c r="F747" s="1" t="s">
        <v>2134</v>
      </c>
      <c r="G747" s="3" t="str">
        <f>IFERROR(__xludf.DUMMYFUNCTION("IF(REGEXMATCH(F747, ""(?:.*,\s*)?([^,]+),\s*([^,]+),\s*Philippines.*""), TRIM(REGEXREPLACE(REGEXREPLACE(F747, ""(?:.*,\s*)?([^,]+),\s*([^,]+),\s*Philippines.*"", ""$1, $2""), ""\d+"", """")), """")"),"Tiaong, Quezon")</f>
        <v>Tiaong, Quezon</v>
      </c>
    </row>
    <row r="748">
      <c r="A748" s="1" t="s">
        <v>2135</v>
      </c>
      <c r="B748" s="1" t="s">
        <v>2136</v>
      </c>
      <c r="C748" s="1" t="s">
        <v>9</v>
      </c>
      <c r="D748" s="1">
        <v>14.1186395</v>
      </c>
      <c r="E748" s="1">
        <v>120.9627024</v>
      </c>
      <c r="F748" s="1" t="s">
        <v>2137</v>
      </c>
      <c r="G748" s="3" t="str">
        <f>IFERROR(__xludf.DUMMYFUNCTION("IF(REGEXMATCH(F748, ""(?:.*,\s*)?([^,]+),\s*([^,]+),\s*Philippines.*""), TRIM(REGEXREPLACE(REGEXREPLACE(F748, ""(?:.*,\s*)?([^,]+),\s*([^,]+),\s*Philippines.*"", ""$1, $2""), ""\d+"", """")), """")"),"Tagaytay City, Cavite")</f>
        <v>Tagaytay City, Cavite</v>
      </c>
    </row>
    <row r="749">
      <c r="A749" s="1" t="s">
        <v>2138</v>
      </c>
      <c r="B749" s="1" t="s">
        <v>2139</v>
      </c>
      <c r="C749" s="1" t="s">
        <v>13</v>
      </c>
      <c r="D749" s="1">
        <v>13.7325499</v>
      </c>
      <c r="E749" s="1">
        <v>122.1803052</v>
      </c>
      <c r="F749" s="1" t="s">
        <v>2140</v>
      </c>
      <c r="G749" s="3" t="str">
        <f>IFERROR(__xludf.DUMMYFUNCTION("IF(REGEXMATCH(F749, ""(?:.*,\s*)?([^,]+),\s*([^,]+),\s*Philippines.*""), TRIM(REGEXREPLACE(REGEXREPLACE(F749, ""(?:.*,\s*)?([^,]+),\s*([^,]+),\s*Philippines.*"", ""$1, $2""), ""\d+"", """")), """")"),"Bayan ng Quezon, Quezon")</f>
        <v>Bayan ng Quezon, Quezon</v>
      </c>
    </row>
    <row r="750">
      <c r="A750" s="1" t="s">
        <v>2141</v>
      </c>
      <c r="B750" s="1" t="s">
        <v>2142</v>
      </c>
      <c r="C750" s="1" t="s">
        <v>9</v>
      </c>
      <c r="D750" s="1">
        <v>14.3434587</v>
      </c>
      <c r="E750" s="1">
        <v>121.0405873</v>
      </c>
      <c r="F750" s="1" t="s">
        <v>2143</v>
      </c>
      <c r="G750" s="3" t="str">
        <f>IFERROR(__xludf.DUMMYFUNCTION("IF(REGEXMATCH(F750, ""(?:.*,\s*)?([^,]+),\s*([^,]+),\s*Philippines.*""), TRIM(REGEXREPLACE(REGEXREPLACE(F750, ""(?:.*,\s*)?([^,]+),\s*([^,]+),\s*Philippines.*"", ""$1, $2""), ""\d+"", """")), """")"),"San Pedro, Laguna")</f>
        <v>San Pedro, Laguna</v>
      </c>
    </row>
    <row r="751">
      <c r="A751" s="1" t="s">
        <v>2144</v>
      </c>
      <c r="B751" s="1" t="s">
        <v>2145</v>
      </c>
      <c r="C751" s="1" t="s">
        <v>9</v>
      </c>
      <c r="D751" s="1">
        <v>14.239944</v>
      </c>
      <c r="E751" s="1">
        <v>121.148743</v>
      </c>
      <c r="F751" s="1" t="s">
        <v>2146</v>
      </c>
      <c r="G751" s="3" t="str">
        <f>IFERROR(__xludf.DUMMYFUNCTION("IF(REGEXMATCH(F751, ""(?:.*,\s*)?([^,]+),\s*([^,]+),\s*Philippines.*""), TRIM(REGEXREPLACE(REGEXREPLACE(F751, ""(?:.*,\s*)?([^,]+),\s*([^,]+),\s*Philippines.*"", ""$1, $2""), ""\d+"", """")), """")"),"Labuyao, Laguna")</f>
        <v>Labuyao, Laguna</v>
      </c>
    </row>
    <row r="752">
      <c r="A752" s="1" t="s">
        <v>2147</v>
      </c>
      <c r="B752" s="1" t="s">
        <v>2148</v>
      </c>
      <c r="C752" s="1" t="s">
        <v>13</v>
      </c>
      <c r="D752" s="1">
        <v>13.8300937</v>
      </c>
      <c r="E752" s="1">
        <v>120.6287182</v>
      </c>
      <c r="F752" s="1" t="s">
        <v>2149</v>
      </c>
      <c r="G752" s="3" t="str">
        <f>IFERROR(__xludf.DUMMYFUNCTION("IF(REGEXMATCH(F752, ""(?:.*,\s*)?([^,]+),\s*([^,]+),\s*Philippines.*""), TRIM(REGEXREPLACE(REGEXREPLACE(F752, ""(?:.*,\s*)?([^,]+),\s*([^,]+),\s*Philippines.*"", ""$1, $2""), ""\d+"", """")), """")"),"Calatagan, Batangas")</f>
        <v>Calatagan, Batangas</v>
      </c>
    </row>
    <row r="753">
      <c r="A753" s="1" t="s">
        <v>2150</v>
      </c>
      <c r="B753" s="1" t="s">
        <v>2151</v>
      </c>
      <c r="C753" s="1" t="s">
        <v>9</v>
      </c>
      <c r="D753" s="1">
        <v>14.619423</v>
      </c>
      <c r="E753" s="1">
        <v>121.152095</v>
      </c>
      <c r="F753" s="1" t="s">
        <v>2152</v>
      </c>
      <c r="G753" s="3" t="str">
        <f>IFERROR(__xludf.DUMMYFUNCTION("IF(REGEXMATCH(F753, ""(?:.*,\s*)?([^,]+),\s*([^,]+),\s*Philippines.*""), TRIM(REGEXREPLACE(REGEXREPLACE(F753, ""(?:.*,\s*)?([^,]+),\s*([^,]+),\s*Philippines.*"", ""$1, $2""), ""\d+"", """")), """")"),"Antipolo, Rizal")</f>
        <v>Antipolo, Rizal</v>
      </c>
    </row>
    <row r="754">
      <c r="A754" s="1" t="s">
        <v>2153</v>
      </c>
      <c r="B754" s="1" t="s">
        <v>2154</v>
      </c>
      <c r="C754" s="1" t="s">
        <v>9</v>
      </c>
      <c r="D754" s="1">
        <v>14.3043182</v>
      </c>
      <c r="E754" s="1">
        <v>121.1030626</v>
      </c>
      <c r="F754" s="1" t="s">
        <v>2155</v>
      </c>
      <c r="G754" s="3" t="str">
        <f>IFERROR(__xludf.DUMMYFUNCTION("IF(REGEXMATCH(F754, ""(?:.*,\s*)?([^,]+),\s*([^,]+),\s*Philippines.*""), TRIM(REGEXREPLACE(REGEXREPLACE(F754, ""(?:.*,\s*)?([^,]+),\s*([^,]+),\s*Philippines.*"", ""$1, $2""), ""\d+"", """")), """")"),"City of Santa Rosa, Laguna")</f>
        <v>City of Santa Rosa, Laguna</v>
      </c>
    </row>
    <row r="755">
      <c r="A755" s="1" t="s">
        <v>2156</v>
      </c>
      <c r="B755" s="1" t="s">
        <v>2157</v>
      </c>
      <c r="C755" s="1" t="s">
        <v>9</v>
      </c>
      <c r="D755" s="1">
        <v>14.3043182</v>
      </c>
      <c r="E755" s="1">
        <v>121.1030626</v>
      </c>
      <c r="F755" s="1" t="s">
        <v>2155</v>
      </c>
      <c r="G755" s="3" t="str">
        <f>IFERROR(__xludf.DUMMYFUNCTION("IF(REGEXMATCH(F755, ""(?:.*,\s*)?([^,]+),\s*([^,]+),\s*Philippines.*""), TRIM(REGEXREPLACE(REGEXREPLACE(F755, ""(?:.*,\s*)?([^,]+),\s*([^,]+),\s*Philippines.*"", ""$1, $2""), ""\d+"", """")), """")"),"City of Santa Rosa, Laguna")</f>
        <v>City of Santa Rosa, Laguna</v>
      </c>
    </row>
    <row r="756">
      <c r="A756" s="1" t="s">
        <v>2158</v>
      </c>
      <c r="B756" s="1" t="s">
        <v>2159</v>
      </c>
      <c r="C756" s="1" t="s">
        <v>13</v>
      </c>
      <c r="D756" s="1">
        <v>13.9674726</v>
      </c>
      <c r="E756" s="1">
        <v>122.5374509</v>
      </c>
      <c r="F756" s="1" t="s">
        <v>2160</v>
      </c>
      <c r="G756" s="3" t="str">
        <f>IFERROR(__xludf.DUMMYFUNCTION("IF(REGEXMATCH(F756, ""(?:.*,\s*)?([^,]+),\s*([^,]+),\s*Philippines.*""), TRIM(REGEXREPLACE(REGEXREPLACE(F756, ""(?:.*,\s*)?([^,]+),\s*([^,]+),\s*Philippines.*"", ""$1, $2""), ""\d+"", """")), """")"),"Tagkawayan, Quezon")</f>
        <v>Tagkawayan, Quezon</v>
      </c>
    </row>
    <row r="757">
      <c r="A757" s="1" t="s">
        <v>2161</v>
      </c>
      <c r="B757" s="1" t="s">
        <v>2162</v>
      </c>
      <c r="C757" s="1" t="s">
        <v>13</v>
      </c>
      <c r="D757" s="1">
        <v>15.4862005</v>
      </c>
      <c r="E757" s="1">
        <v>120.9740088</v>
      </c>
      <c r="F757" s="1" t="s">
        <v>2163</v>
      </c>
      <c r="G757" s="3" t="str">
        <f>IFERROR(__xludf.DUMMYFUNCTION("IF(REGEXMATCH(F757, ""(?:.*,\s*)?([^,]+),\s*([^,]+),\s*Philippines.*""), TRIM(REGEXREPLACE(REGEXREPLACE(F757, ""(?:.*,\s*)?([^,]+),\s*([^,]+),\s*Philippines.*"", ""$1, $2""), ""\d+"", """")), """")"),"Cabanatuan City, Nueva Ecija")</f>
        <v>Cabanatuan City, Nueva Ecija</v>
      </c>
    </row>
    <row r="758">
      <c r="A758" s="1" t="s">
        <v>2164</v>
      </c>
      <c r="B758" s="1" t="s">
        <v>2165</v>
      </c>
      <c r="C758" s="1" t="s">
        <v>13</v>
      </c>
      <c r="D758" s="1">
        <v>14.0148054</v>
      </c>
      <c r="E758" s="1">
        <v>121.4028496</v>
      </c>
      <c r="F758" s="1" t="s">
        <v>2166</v>
      </c>
      <c r="G758" s="3" t="str">
        <f>IFERROR(__xludf.DUMMYFUNCTION("IF(REGEXMATCH(F758, ""(?:.*,\s*)?([^,]+),\s*([^,]+),\s*Philippines.*""), TRIM(REGEXREPLACE(REGEXREPLACE(F758, ""(?:.*,\s*)?([^,]+),\s*([^,]+),\s*Philippines.*"", ""$1, $2""), ""\d+"", """")), """")"),"Dolores, Quezon")</f>
        <v>Dolores, Quezon</v>
      </c>
    </row>
    <row r="759">
      <c r="A759" s="1" t="s">
        <v>2167</v>
      </c>
      <c r="B759" s="1" t="s">
        <v>2168</v>
      </c>
      <c r="C759" s="1" t="s">
        <v>9</v>
      </c>
      <c r="D759" s="1">
        <v>14.4156005</v>
      </c>
      <c r="E759" s="1">
        <v>120.9497778</v>
      </c>
      <c r="F759" s="1" t="s">
        <v>2169</v>
      </c>
      <c r="G759" s="3" t="str">
        <f>IFERROR(__xludf.DUMMYFUNCTION("IF(REGEXMATCH(F759, ""(?:.*,\s*)?([^,]+),\s*([^,]+),\s*Philippines.*""), TRIM(REGEXREPLACE(REGEXREPLACE(F759, ""(?:.*,\s*)?([^,]+),\s*([^,]+),\s*Philippines.*"", ""$1, $2""), ""\d+"", """")), """")"),"Imus, Cavite")</f>
        <v>Imus, Cavite</v>
      </c>
    </row>
    <row r="760">
      <c r="A760" s="1" t="s">
        <v>2170</v>
      </c>
      <c r="B760" s="1" t="s">
        <v>2171</v>
      </c>
      <c r="C760" s="1" t="s">
        <v>13</v>
      </c>
      <c r="D760" s="1">
        <v>14.4416858</v>
      </c>
      <c r="E760" s="1">
        <v>121.4002288</v>
      </c>
      <c r="F760" s="1" t="s">
        <v>2172</v>
      </c>
      <c r="G760" s="3" t="str">
        <f>IFERROR(__xludf.DUMMYFUNCTION("IF(REGEXMATCH(F760, ""(?:.*,\s*)?([^,]+),\s*([^,]+),\s*Philippines.*""), TRIM(REGEXREPLACE(REGEXREPLACE(F760, ""(?:.*,\s*)?([^,]+),\s*([^,]+),\s*Philippines.*"", ""$1, $2""), ""\d+"", """")), """")"),"Mabitac, Laguna")</f>
        <v>Mabitac, Laguna</v>
      </c>
    </row>
    <row r="761">
      <c r="A761" s="1" t="s">
        <v>2173</v>
      </c>
      <c r="B761" s="1" t="s">
        <v>2174</v>
      </c>
      <c r="C761" s="1" t="s">
        <v>13</v>
      </c>
      <c r="D761" s="1">
        <v>13.0736458</v>
      </c>
      <c r="E761" s="1">
        <v>121.4541881</v>
      </c>
      <c r="F761" s="1" t="s">
        <v>2175</v>
      </c>
      <c r="G761" s="3" t="str">
        <f>IFERROR(__xludf.DUMMYFUNCTION("IF(REGEXMATCH(F761, ""(?:.*,\s*)?([^,]+),\s*([^,]+),\s*Philippines.*""), TRIM(REGEXREPLACE(REGEXREPLACE(F761, ""(?:.*,\s*)?([^,]+),\s*([^,]+),\s*Philippines.*"", ""$1, $2""), ""\d+"", """")), """")"),"Pinamalayan, Oriental Mindoro")</f>
        <v>Pinamalayan, Oriental Mindoro</v>
      </c>
    </row>
    <row r="762">
      <c r="A762" s="1" t="s">
        <v>2176</v>
      </c>
      <c r="B762" s="1" t="s">
        <v>2177</v>
      </c>
      <c r="C762" s="1" t="s">
        <v>13</v>
      </c>
      <c r="D762" s="1">
        <v>14.1397983</v>
      </c>
      <c r="E762" s="1">
        <v>121.5542413</v>
      </c>
      <c r="F762" s="1" t="s">
        <v>2178</v>
      </c>
      <c r="G762" s="3" t="str">
        <f>IFERROR(__xludf.DUMMYFUNCTION("IF(REGEXMATCH(F762, ""(?:.*,\s*)?([^,]+),\s*([^,]+),\s*Philippines.*""), TRIM(REGEXREPLACE(REGEXREPLACE(F762, ""(?:.*,\s*)?([^,]+),\s*([^,]+),\s*Philippines.*"", ""$1, $2""), ""\d+"", """")), """")"),"Lucban, Quezon")</f>
        <v>Lucban, Quezon</v>
      </c>
    </row>
    <row r="763">
      <c r="A763" s="1" t="s">
        <v>2179</v>
      </c>
      <c r="B763" s="1" t="s">
        <v>2180</v>
      </c>
      <c r="C763" s="1" t="s">
        <v>13</v>
      </c>
      <c r="D763" s="1">
        <v>15.1034675</v>
      </c>
      <c r="E763" s="1">
        <v>121.422761</v>
      </c>
      <c r="F763" s="1" t="s">
        <v>2181</v>
      </c>
      <c r="G763" s="3" t="str">
        <f>IFERROR(__xludf.DUMMYFUNCTION("IF(REGEXMATCH(F763, ""(?:.*,\s*)?([^,]+),\s*([^,]+),\s*Philippines.*""), TRIM(REGEXREPLACE(REGEXREPLACE(F763, ""(?:.*,\s*)?([^,]+),\s*([^,]+),\s*Philippines.*"", ""$1, $2""), ""\d+"", """")), """")"),"General Nakar, Quezon")</f>
        <v>General Nakar, Quezon</v>
      </c>
    </row>
    <row r="764">
      <c r="A764" s="1" t="s">
        <v>2182</v>
      </c>
      <c r="B764" s="1" t="s">
        <v>2183</v>
      </c>
      <c r="C764" s="1" t="s">
        <v>13</v>
      </c>
      <c r="D764" s="1">
        <v>14.0088629</v>
      </c>
      <c r="E764" s="1">
        <v>122.1822166</v>
      </c>
      <c r="F764" s="1" t="s">
        <v>2184</v>
      </c>
      <c r="G764" s="3" t="str">
        <f>IFERROR(__xludf.DUMMYFUNCTION("IF(REGEXMATCH(F764, ""(?:.*,\s*)?([^,]+),\s*([^,]+),\s*Philippines.*""), TRIM(REGEXREPLACE(REGEXREPLACE(F764, ""(?:.*,\s*)?([^,]+),\s*([^,]+),\s*Philippines.*"", ""$1, $2""), ""\d+"", """")), """")"),"Quezon, Quezon")</f>
        <v>Quezon, Quezon</v>
      </c>
    </row>
    <row r="765">
      <c r="A765" s="1" t="s">
        <v>2185</v>
      </c>
      <c r="B765" s="1" t="s">
        <v>2186</v>
      </c>
      <c r="C765" s="1" t="s">
        <v>9</v>
      </c>
      <c r="D765" s="1">
        <v>14.3383226</v>
      </c>
      <c r="E765" s="1">
        <v>121.056634</v>
      </c>
      <c r="F765" s="1" t="s">
        <v>2187</v>
      </c>
      <c r="G765" s="3" t="str">
        <f>IFERROR(__xludf.DUMMYFUNCTION("IF(REGEXMATCH(F765, ""(?:.*,\s*)?([^,]+),\s*([^,]+),\s*Philippines.*""), TRIM(REGEXREPLACE(REGEXREPLACE(F765, ""(?:.*,\s*)?([^,]+),\s*([^,]+),\s*Philippines.*"", ""$1, $2""), ""\d+"", """")), """")"),"San Pedro, Laguna")</f>
        <v>San Pedro, Laguna</v>
      </c>
    </row>
    <row r="766">
      <c r="A766" s="1" t="s">
        <v>2188</v>
      </c>
      <c r="B766" s="1" t="s">
        <v>2189</v>
      </c>
      <c r="C766" s="1" t="s">
        <v>13</v>
      </c>
      <c r="D766" s="1">
        <v>13.8745265</v>
      </c>
      <c r="E766" s="1">
        <v>121.2158626</v>
      </c>
      <c r="F766" s="1" t="s">
        <v>670</v>
      </c>
      <c r="G766" s="3" t="str">
        <f>IFERROR(__xludf.DUMMYFUNCTION("IF(REGEXMATCH(F766, ""(?:.*,\s*)?([^,]+),\s*([^,]+),\s*Philippines.*""), TRIM(REGEXREPLACE(REGEXREPLACE(F766, ""(?:.*,\s*)?([^,]+),\s*([^,]+),\s*Philippines.*"", ""$1, $2""), ""\d+"", """")), """")"),"Padre Garcia, Batangas")</f>
        <v>Padre Garcia, Batangas</v>
      </c>
    </row>
    <row r="767">
      <c r="A767" s="1" t="s">
        <v>2190</v>
      </c>
      <c r="B767" s="1" t="s">
        <v>2191</v>
      </c>
      <c r="C767" s="1" t="s">
        <v>13</v>
      </c>
      <c r="D767" s="1">
        <v>13.8468667</v>
      </c>
      <c r="E767" s="1">
        <v>121.20618</v>
      </c>
      <c r="F767" s="1" t="s">
        <v>2192</v>
      </c>
      <c r="G767" s="3" t="str">
        <f>IFERROR(__xludf.DUMMYFUNCTION("IF(REGEXMATCH(F767, ""(?:.*,\s*)?([^,]+),\s*([^,]+),\s*Philippines.*""), TRIM(REGEXREPLACE(REGEXREPLACE(F767, ""(?:.*,\s*)?([^,]+),\s*([^,]+),\s*Philippines.*"", ""$1, $2""), ""\d+"", """")), """")"),"Rosario, Batangas")</f>
        <v>Rosario, Batangas</v>
      </c>
    </row>
    <row r="768">
      <c r="A768" s="1" t="s">
        <v>2193</v>
      </c>
      <c r="B768" s="1" t="s">
        <v>2194</v>
      </c>
      <c r="C768" s="1" t="s">
        <v>9</v>
      </c>
      <c r="D768" s="1">
        <v>14.3629432</v>
      </c>
      <c r="E768" s="1">
        <v>121.4846324</v>
      </c>
      <c r="F768" s="1" t="s">
        <v>2195</v>
      </c>
      <c r="G768" s="3" t="str">
        <f>IFERROR(__xludf.DUMMYFUNCTION("IF(REGEXMATCH(F768, ""(?:.*,\s*)?([^,]+),\s*([^,]+),\s*Philippines.*""), TRIM(REGEXREPLACE(REGEXREPLACE(F768, ""(?:.*,\s*)?([^,]+),\s*([^,]+),\s*Philippines.*"", ""$1, $2""), ""\d+"", """")), """")"),"Paete, Laguna")</f>
        <v>Paete, Laguna</v>
      </c>
    </row>
    <row r="769">
      <c r="A769" s="1" t="s">
        <v>2196</v>
      </c>
      <c r="B769" s="1" t="s">
        <v>2197</v>
      </c>
      <c r="C769" s="1" t="s">
        <v>9</v>
      </c>
      <c r="D769" s="1">
        <v>14.3724281</v>
      </c>
      <c r="E769" s="1">
        <v>121.548418</v>
      </c>
      <c r="F769" s="1" t="s">
        <v>2198</v>
      </c>
      <c r="G769" s="3" t="str">
        <f>IFERROR(__xludf.DUMMYFUNCTION("IF(REGEXMATCH(F769, ""(?:.*,\s*)?([^,]+),\s*([^,]+),\s*Philippines.*""), TRIM(REGEXREPLACE(REGEXREPLACE(F769, ""(?:.*,\s*)?([^,]+),\s*([^,]+),\s*Philippines.*"", ""$1, $2""), ""\d+"", """")), """")"),"Paete, Laguna")</f>
        <v>Paete, Laguna</v>
      </c>
    </row>
    <row r="770">
      <c r="A770" s="1" t="s">
        <v>2199</v>
      </c>
      <c r="B770" s="1" t="s">
        <v>2200</v>
      </c>
      <c r="C770" s="1" t="s">
        <v>13</v>
      </c>
      <c r="D770" s="1">
        <v>13.9707737</v>
      </c>
      <c r="E770" s="1">
        <v>121.6875797</v>
      </c>
      <c r="F770" s="1" t="s">
        <v>2201</v>
      </c>
      <c r="G770" s="3" t="str">
        <f>IFERROR(__xludf.DUMMYFUNCTION("IF(REGEXMATCH(F770, ""(?:.*,\s*)?([^,]+),\s*([^,]+),\s*Philippines.*""), TRIM(REGEXREPLACE(REGEXREPLACE(F770, ""(?:.*,\s*)?([^,]+),\s*([^,]+),\s*Philippines.*"", ""$1, $2""), ""\d+"", """")), """")"),"Pagbilao, Quezon")</f>
        <v>Pagbilao, Quezon</v>
      </c>
    </row>
    <row r="771">
      <c r="A771" s="1" t="s">
        <v>2202</v>
      </c>
      <c r="B771" s="1" t="s">
        <v>2203</v>
      </c>
      <c r="C771" s="1" t="s">
        <v>13</v>
      </c>
      <c r="D771" s="1">
        <v>13.9143187</v>
      </c>
      <c r="E771" s="1">
        <v>121.7708337</v>
      </c>
      <c r="F771" s="1" t="s">
        <v>2204</v>
      </c>
      <c r="G771" s="3" t="str">
        <f>IFERROR(__xludf.DUMMYFUNCTION("IF(REGEXMATCH(F771, ""(?:.*,\s*)?([^,]+),\s*([^,]+),\s*Philippines.*""), TRIM(REGEXREPLACE(REGEXREPLACE(F771, ""(?:.*,\s*)?([^,]+),\s*([^,]+),\s*Philippines.*"", ""$1, $2""), ""\d+"", """")), """")"),"Pagbilao, Quezon")</f>
        <v>Pagbilao, Quezon</v>
      </c>
    </row>
    <row r="772">
      <c r="A772" s="1" t="s">
        <v>2205</v>
      </c>
      <c r="B772" s="1" t="s">
        <v>2206</v>
      </c>
      <c r="C772" s="1" t="s">
        <v>13</v>
      </c>
      <c r="D772" s="1">
        <v>13.9662839</v>
      </c>
      <c r="E772" s="1">
        <v>121.6767882</v>
      </c>
      <c r="F772" s="1" t="s">
        <v>2207</v>
      </c>
      <c r="G772" s="3" t="str">
        <f>IFERROR(__xludf.DUMMYFUNCTION("IF(REGEXMATCH(F772, ""(?:.*,\s*)?([^,]+),\s*([^,]+),\s*Philippines.*""), TRIM(REGEXREPLACE(REGEXREPLACE(F772, ""(?:.*,\s*)?([^,]+),\s*([^,]+),\s*Philippines.*"", ""$1, $2""), ""\d+"", """")), """")"),"Pagbilao, Quezon")</f>
        <v>Pagbilao, Quezon</v>
      </c>
    </row>
    <row r="773">
      <c r="A773" s="1" t="s">
        <v>2208</v>
      </c>
      <c r="B773" s="1" t="s">
        <v>2209</v>
      </c>
      <c r="C773" s="1" t="s">
        <v>13</v>
      </c>
      <c r="D773" s="1">
        <v>13.7730916</v>
      </c>
      <c r="E773" s="1">
        <v>123.7489785</v>
      </c>
      <c r="F773" s="1" t="s">
        <v>2210</v>
      </c>
      <c r="G773" s="3" t="str">
        <f>IFERROR(__xludf.DUMMYFUNCTION("IF(REGEXMATCH(F773, ""(?:.*,\s*)?([^,]+),\s*([^,]+),\s*Philippines.*""), TRIM(REGEXREPLACE(REGEXREPLACE(F773, ""(?:.*,\s*)?([^,]+),\s*([^,]+),\s*Philippines.*"", ""$1, $2""), ""\d+"", """")), """")"),"Presentacion, Camarines Sur")</f>
        <v>Presentacion, Camarines Sur</v>
      </c>
    </row>
    <row r="774">
      <c r="A774" s="1" t="s">
        <v>2211</v>
      </c>
      <c r="B774" s="1" t="s">
        <v>2212</v>
      </c>
      <c r="C774" s="1" t="s">
        <v>13</v>
      </c>
      <c r="D774" s="1">
        <v>14.2761624</v>
      </c>
      <c r="E774" s="1">
        <v>121.4530013</v>
      </c>
      <c r="F774" s="1" t="s">
        <v>2213</v>
      </c>
      <c r="G774" s="3" t="str">
        <f>IFERROR(__xludf.DUMMYFUNCTION("IF(REGEXMATCH(F774, ""(?:.*,\s*)?([^,]+),\s*([^,]+),\s*Philippines.*""), TRIM(REGEXREPLACE(REGEXREPLACE(F774, ""(?:.*,\s*)?([^,]+),\s*([^,]+),\s*Philippines.*"", ""$1, $2""), ""\d+"", """")), """")"),"Pagsanjan, Laguna")</f>
        <v>Pagsanjan, Laguna</v>
      </c>
    </row>
    <row r="775">
      <c r="A775" s="1" t="s">
        <v>2214</v>
      </c>
      <c r="B775" s="1" t="s">
        <v>2215</v>
      </c>
      <c r="C775" s="1" t="s">
        <v>9</v>
      </c>
      <c r="D775" s="1">
        <v>14.2727009</v>
      </c>
      <c r="E775" s="1">
        <v>121.4559396</v>
      </c>
      <c r="F775" s="1" t="s">
        <v>2216</v>
      </c>
      <c r="G775" s="3" t="str">
        <f>IFERROR(__xludf.DUMMYFUNCTION("IF(REGEXMATCH(F775, ""(?:.*,\s*)?([^,]+),\s*([^,]+),\s*Philippines.*""), TRIM(REGEXREPLACE(REGEXREPLACE(F775, ""(?:.*,\s*)?([^,]+),\s*([^,]+),\s*Philippines.*"", ""$1, $2""), ""\d+"", """")), """")"),"Pagsanjan, Laguna")</f>
        <v>Pagsanjan, Laguna</v>
      </c>
    </row>
    <row r="776">
      <c r="A776" s="1" t="s">
        <v>2217</v>
      </c>
      <c r="B776" s="1" t="s">
        <v>2218</v>
      </c>
      <c r="C776" s="1" t="s">
        <v>13</v>
      </c>
      <c r="D776" s="1">
        <v>13.7547348</v>
      </c>
      <c r="E776" s="1">
        <v>121.1452643</v>
      </c>
      <c r="F776" s="1" t="s">
        <v>2219</v>
      </c>
      <c r="G776" s="3" t="str">
        <f>IFERROR(__xludf.DUMMYFUNCTION("IF(REGEXMATCH(F776, ""(?:.*,\s*)?([^,]+),\s*([^,]+),\s*Philippines.*""), TRIM(REGEXREPLACE(REGEXREPLACE(F776, ""(?:.*,\s*)?([^,]+),\s*([^,]+),\s*Philippines.*"", ""$1, $2""), ""\d+"", """")), """")"),"Batangas City, Batangas")</f>
        <v>Batangas City, Batangas</v>
      </c>
    </row>
    <row r="777">
      <c r="A777" s="1" t="s">
        <v>2220</v>
      </c>
      <c r="B777" s="1" t="s">
        <v>2221</v>
      </c>
      <c r="C777" s="1" t="s">
        <v>13</v>
      </c>
      <c r="D777" s="1">
        <v>13.9258331</v>
      </c>
      <c r="E777" s="1">
        <v>121.351304</v>
      </c>
      <c r="F777" s="1" t="s">
        <v>2222</v>
      </c>
      <c r="G777" s="3" t="str">
        <f>IFERROR(__xludf.DUMMYFUNCTION("IF(REGEXMATCH(F777, ""(?:.*,\s*)?([^,]+),\s*([^,]+),\s*Philippines.*""), TRIM(REGEXREPLACE(REGEXREPLACE(F777, ""(?:.*,\s*)?([^,]+),\s*([^,]+),\s*Philippines.*"", ""$1, $2""), ""\d+"", """")), """")"),"Tiaong, Quezon")</f>
        <v>Tiaong, Quezon</v>
      </c>
    </row>
    <row r="778">
      <c r="A778" s="1" t="s">
        <v>2223</v>
      </c>
      <c r="B778" s="1" t="s">
        <v>2224</v>
      </c>
      <c r="C778" s="1" t="s">
        <v>13</v>
      </c>
      <c r="D778" s="1">
        <v>13.491859</v>
      </c>
      <c r="E778" s="1">
        <v>122.498121</v>
      </c>
      <c r="F778" s="1" t="s">
        <v>2225</v>
      </c>
      <c r="G778" s="3" t="str">
        <f>IFERROR(__xludf.DUMMYFUNCTION("IF(REGEXMATCH(F778, ""(?:.*,\s*)?([^,]+),\s*([^,]+),\s*Philippines.*""), TRIM(REGEXREPLACE(REGEXREPLACE(F778, ""(?:.*,\s*)?([^,]+),\s*([^,]+),\s*Philippines.*"", ""$1, $2""), ""\d+"", """")), """")"),"Mulanay, Quezon")</f>
        <v>Mulanay, Quezon</v>
      </c>
    </row>
    <row r="779">
      <c r="A779" s="1" t="s">
        <v>2226</v>
      </c>
      <c r="B779" s="1" t="s">
        <v>2227</v>
      </c>
      <c r="C779" s="1" t="s">
        <v>9</v>
      </c>
      <c r="D779" s="1">
        <v>14.3800858</v>
      </c>
      <c r="E779" s="1">
        <v>121.4767033</v>
      </c>
      <c r="F779" s="1" t="s">
        <v>2228</v>
      </c>
      <c r="G779" s="3" t="str">
        <f>IFERROR(__xludf.DUMMYFUNCTION("IF(REGEXMATCH(F779, ""(?:.*,\s*)?([^,]+),\s*([^,]+),\s*Philippines.*""), TRIM(REGEXREPLACE(REGEXREPLACE(F779, ""(?:.*,\s*)?([^,]+),\s*([^,]+),\s*Philippines.*"", ""$1, $2""), ""\d+"", """")), """")"),"Pakil, Laguna")</f>
        <v>Pakil, Laguna</v>
      </c>
    </row>
    <row r="780">
      <c r="A780" s="1" t="s">
        <v>2229</v>
      </c>
      <c r="B780" s="1" t="s">
        <v>2230</v>
      </c>
      <c r="C780" s="1" t="s">
        <v>13</v>
      </c>
      <c r="D780" s="1">
        <v>13.8386348</v>
      </c>
      <c r="E780" s="1">
        <v>121.351304</v>
      </c>
      <c r="F780" s="1" t="s">
        <v>2231</v>
      </c>
      <c r="G780" s="3" t="str">
        <f>IFERROR(__xludf.DUMMYFUNCTION("IF(REGEXMATCH(F780, ""(?:.*,\s*)?([^,]+),\s*([^,]+),\s*Philippines.*""), TRIM(REGEXREPLACE(REGEXREPLACE(F780, ""(?:.*,\s*)?([^,]+),\s*([^,]+),\s*Philippines.*"", ""$1, $2""), ""\d+"", """")), """")"),"San Juan, Batangas")</f>
        <v>San Juan, Batangas</v>
      </c>
    </row>
    <row r="781">
      <c r="A781" s="1" t="s">
        <v>2232</v>
      </c>
      <c r="B781" s="1" t="s">
        <v>2233</v>
      </c>
      <c r="C781" s="1" t="s">
        <v>13</v>
      </c>
      <c r="D781" s="1">
        <v>13.8745265</v>
      </c>
      <c r="E781" s="1">
        <v>121.2158626</v>
      </c>
      <c r="F781" s="1" t="s">
        <v>670</v>
      </c>
      <c r="G781" s="3" t="str">
        <f>IFERROR(__xludf.DUMMYFUNCTION("IF(REGEXMATCH(F781, ""(?:.*,\s*)?([^,]+),\s*([^,]+),\s*Philippines.*""), TRIM(REGEXREPLACE(REGEXREPLACE(F781, ""(?:.*,\s*)?([^,]+),\s*([^,]+),\s*Philippines.*"", ""$1, $2""), ""\d+"", """")), """")"),"Padre Garcia, Batangas")</f>
        <v>Padre Garcia, Batangas</v>
      </c>
    </row>
    <row r="782">
      <c r="A782" s="1" t="s">
        <v>2234</v>
      </c>
      <c r="B782" s="1" t="s">
        <v>2235</v>
      </c>
      <c r="C782" s="1" t="s">
        <v>13</v>
      </c>
      <c r="D782" s="1">
        <v>14.3070997</v>
      </c>
      <c r="E782" s="1">
        <v>120.991683</v>
      </c>
      <c r="F782" s="1" t="s">
        <v>2236</v>
      </c>
      <c r="G782" s="3" t="str">
        <f>IFERROR(__xludf.DUMMYFUNCTION("IF(REGEXMATCH(F782, ""(?:.*,\s*)?([^,]+),\s*([^,]+),\s*Philippines.*""), TRIM(REGEXREPLACE(REGEXREPLACE(F782, ""(?:.*,\s*)?([^,]+),\s*([^,]+),\s*Philippines.*"", ""$1, $2""), ""\d+"", """")), """")"),"Dasmariñas, Cavite")</f>
        <v>Dasmariñas, Cavite</v>
      </c>
    </row>
    <row r="783">
      <c r="A783" s="1" t="s">
        <v>2237</v>
      </c>
      <c r="B783" s="1" t="s">
        <v>2238</v>
      </c>
      <c r="C783" s="1" t="s">
        <v>9</v>
      </c>
      <c r="D783" s="1">
        <v>14.3214884</v>
      </c>
      <c r="E783" s="1">
        <v>120.9791822</v>
      </c>
      <c r="F783" s="1" t="s">
        <v>2239</v>
      </c>
      <c r="G783" s="3" t="str">
        <f>IFERROR(__xludf.DUMMYFUNCTION("IF(REGEXMATCH(F783, ""(?:.*,\s*)?([^,]+),\s*([^,]+),\s*Philippines.*""), TRIM(REGEXREPLACE(REGEXREPLACE(F783, ""(?:.*,\s*)?([^,]+),\s*([^,]+),\s*Philippines.*"", ""$1, $2""), ""\d+"", """")), """")"),"Dasmariñas, Cavite")</f>
        <v>Dasmariñas, Cavite</v>
      </c>
    </row>
    <row r="784">
      <c r="A784" s="1" t="s">
        <v>2240</v>
      </c>
      <c r="B784" s="1" t="s">
        <v>2241</v>
      </c>
      <c r="C784" s="1" t="s">
        <v>13</v>
      </c>
      <c r="D784" s="1">
        <v>14.1907597</v>
      </c>
      <c r="E784" s="1">
        <v>121.1166193</v>
      </c>
      <c r="F784" s="1" t="s">
        <v>2242</v>
      </c>
      <c r="G784" s="3" t="str">
        <f>IFERROR(__xludf.DUMMYFUNCTION("IF(REGEXMATCH(F784, ""(?:.*,\s*)?([^,]+),\s*([^,]+),\s*Philippines.*""), TRIM(REGEXREPLACE(REGEXREPLACE(F784, ""(?:.*,\s*)?([^,]+),\s*([^,]+),\s*Philippines.*"", ""$1, $2""), ""\d+"", """")), """")"),"Calamba, Laguna")</f>
        <v>Calamba, Laguna</v>
      </c>
    </row>
    <row r="785">
      <c r="A785" s="1" t="s">
        <v>2243</v>
      </c>
      <c r="B785" s="1" t="s">
        <v>2244</v>
      </c>
      <c r="C785" s="1" t="s">
        <v>13</v>
      </c>
      <c r="D785" s="1">
        <v>13.8919938</v>
      </c>
      <c r="E785" s="1">
        <v>122.2909078</v>
      </c>
      <c r="F785" s="1" t="s">
        <v>2245</v>
      </c>
      <c r="G785" s="3" t="str">
        <f>IFERROR(__xludf.DUMMYFUNCTION("IF(REGEXMATCH(F785, ""(?:.*,\s*)?([^,]+),\s*([^,]+),\s*Philippines.*""), TRIM(REGEXREPLACE(REGEXREPLACE(F785, ""(?:.*,\s*)?([^,]+),\s*([^,]+),\s*Philippines.*"", ""$1, $2""), ""\d+"", """")), """")"),"Lopez, Quezon")</f>
        <v>Lopez, Quezon</v>
      </c>
    </row>
    <row r="786">
      <c r="A786" s="1" t="s">
        <v>2246</v>
      </c>
      <c r="B786" s="1" t="s">
        <v>2247</v>
      </c>
      <c r="C786" s="1" t="s">
        <v>9</v>
      </c>
      <c r="D786" s="1">
        <v>14.2592295</v>
      </c>
      <c r="E786" s="1">
        <v>121.1338387</v>
      </c>
      <c r="F786" s="1" t="s">
        <v>2248</v>
      </c>
      <c r="G786" s="3" t="str">
        <f>IFERROR(__xludf.DUMMYFUNCTION("IF(REGEXMATCH(F786, ""(?:.*,\s*)?([^,]+),\s*([^,]+),\s*Philippines.*""), TRIM(REGEXREPLACE(REGEXREPLACE(F786, ""(?:.*,\s*)?([^,]+),\s*([^,]+),\s*Philippines.*"", ""$1, $2""), ""\d+"", """")), """")"),"Cabuyao City, Laguna")</f>
        <v>Cabuyao City, Laguna</v>
      </c>
    </row>
    <row r="787">
      <c r="A787" s="1" t="s">
        <v>2249</v>
      </c>
      <c r="B787" s="1" t="s">
        <v>2250</v>
      </c>
      <c r="C787" s="1" t="s">
        <v>9</v>
      </c>
      <c r="D787" s="1">
        <v>14.1736282</v>
      </c>
      <c r="E787" s="1">
        <v>121.7168648</v>
      </c>
      <c r="F787" s="1" t="s">
        <v>2251</v>
      </c>
      <c r="G787" s="3" t="str">
        <f>IFERROR(__xludf.DUMMYFUNCTION("IF(REGEXMATCH(F787, ""(?:.*,\s*)?([^,]+),\s*([^,]+),\s*Philippines.*""), TRIM(REGEXREPLACE(REGEXREPLACE(F787, ""(?:.*,\s*)?([^,]+),\s*([^,]+),\s*Philippines.*"", ""$1, $2""), ""\d+"", """")), """")"),"Mauban, Quezon")</f>
        <v>Mauban, Quezon</v>
      </c>
    </row>
    <row r="788">
      <c r="A788" s="1" t="s">
        <v>2252</v>
      </c>
      <c r="B788" s="1" t="s">
        <v>2253</v>
      </c>
      <c r="C788" s="1" t="s">
        <v>13</v>
      </c>
      <c r="D788" s="1">
        <v>12.6678893</v>
      </c>
      <c r="E788" s="1">
        <v>123.9881393</v>
      </c>
      <c r="F788" s="1" t="s">
        <v>1930</v>
      </c>
      <c r="G788" s="3" t="str">
        <f>IFERROR(__xludf.DUMMYFUNCTION("IF(REGEXMATCH(F788, ""(?:.*,\s*)?([^,]+),\s*([^,]+),\s*Philippines.*""), TRIM(REGEXREPLACE(REGEXREPLACE(F788, ""(?:.*,\s*)?([^,]+),\s*([^,]+),\s*Philippines.*"", ""$1, $2""), ""\d+"", """")), """")"),"")</f>
        <v/>
      </c>
    </row>
    <row r="789">
      <c r="A789" s="1" t="s">
        <v>2254</v>
      </c>
      <c r="B789" s="1" t="s">
        <v>2255</v>
      </c>
      <c r="C789" s="1" t="s">
        <v>13</v>
      </c>
      <c r="D789" s="1">
        <v>13.8745265</v>
      </c>
      <c r="E789" s="1">
        <v>121.2158626</v>
      </c>
      <c r="F789" s="1" t="s">
        <v>670</v>
      </c>
      <c r="G789" s="3" t="str">
        <f>IFERROR(__xludf.DUMMYFUNCTION("IF(REGEXMATCH(F789, ""(?:.*,\s*)?([^,]+),\s*([^,]+),\s*Philippines.*""), TRIM(REGEXREPLACE(REGEXREPLACE(F789, ""(?:.*,\s*)?([^,]+),\s*([^,]+),\s*Philippines.*"", ""$1, $2""), ""\d+"", """")), """")"),"Padre Garcia, Batangas")</f>
        <v>Padre Garcia, Batangas</v>
      </c>
    </row>
    <row r="790">
      <c r="A790" s="1" t="s">
        <v>2256</v>
      </c>
      <c r="B790" s="1" t="s">
        <v>2257</v>
      </c>
      <c r="C790" s="1" t="s">
        <v>9</v>
      </c>
      <c r="D790" s="1">
        <v>14.0833716</v>
      </c>
      <c r="E790" s="1">
        <v>120.6336631</v>
      </c>
      <c r="F790" s="1" t="s">
        <v>2258</v>
      </c>
      <c r="G790" s="3" t="str">
        <f>IFERROR(__xludf.DUMMYFUNCTION("IF(REGEXMATCH(F790, ""(?:.*,\s*)?([^,]+),\s*([^,]+),\s*Philippines.*""), TRIM(REGEXREPLACE(REGEXREPLACE(F790, ""(?:.*,\s*)?([^,]+),\s*([^,]+),\s*Philippines.*"", ""$1, $2""), ""\d+"", """")), """")"),"Nasugbu, Batangas")</f>
        <v>Nasugbu, Batangas</v>
      </c>
    </row>
    <row r="791">
      <c r="A791" s="1" t="s">
        <v>2259</v>
      </c>
      <c r="B791" s="1" t="s">
        <v>2260</v>
      </c>
      <c r="C791" s="1" t="s">
        <v>13</v>
      </c>
      <c r="D791" s="1">
        <v>14.1194124</v>
      </c>
      <c r="E791" s="1">
        <v>121.1192542</v>
      </c>
      <c r="F791" s="1" t="s">
        <v>2261</v>
      </c>
      <c r="G791" s="3" t="str">
        <f>IFERROR(__xludf.DUMMYFUNCTION("IF(REGEXMATCH(F791, ""(?:.*,\s*)?([^,]+),\s*([^,]+),\s*Philippines.*""), TRIM(REGEXREPLACE(REGEXREPLACE(F791, ""(?:.*,\s*)?([^,]+),\s*([^,]+),\s*Philippines.*"", ""$1, $2""), ""\d+"", """")), """")"),"Tanauan City, Batangas")</f>
        <v>Tanauan City, Batangas</v>
      </c>
    </row>
    <row r="792">
      <c r="A792" s="1" t="s">
        <v>2262</v>
      </c>
      <c r="B792" s="1" t="s">
        <v>2263</v>
      </c>
      <c r="C792" s="1" t="s">
        <v>13</v>
      </c>
      <c r="D792" s="1">
        <v>15.1670159</v>
      </c>
      <c r="E792" s="1">
        <v>120.4898564</v>
      </c>
      <c r="F792" s="1" t="s">
        <v>2264</v>
      </c>
      <c r="G792" s="3" t="str">
        <f>IFERROR(__xludf.DUMMYFUNCTION("IF(REGEXMATCH(F792, ""(?:.*,\s*)?([^,]+),\s*([^,]+),\s*Philippines.*""), TRIM(REGEXREPLACE(REGEXREPLACE(F792, ""(?:.*,\s*)?([^,]+),\s*([^,]+),\s*Philippines.*"", ""$1, $2""), ""\d+"", """")), """")"),"Angeles, Pampanga")</f>
        <v>Angeles, Pampanga</v>
      </c>
    </row>
    <row r="793">
      <c r="A793" s="1" t="s">
        <v>2265</v>
      </c>
      <c r="B793" s="1" t="s">
        <v>2266</v>
      </c>
      <c r="C793" s="1" t="s">
        <v>766</v>
      </c>
      <c r="D793" s="1">
        <v>14.6430735</v>
      </c>
      <c r="E793" s="1">
        <v>121.1780276</v>
      </c>
      <c r="F793" s="1" t="s">
        <v>2267</v>
      </c>
      <c r="G793" s="3" t="str">
        <f>IFERROR(__xludf.DUMMYFUNCTION("IF(REGEXMATCH(F793, ""(?:.*,\s*)?([^,]+),\s*([^,]+),\s*Philippines.*""), TRIM(REGEXREPLACE(REGEXREPLACE(F793, ""(?:.*,\s*)?([^,]+),\s*([^,]+),\s*Philippines.*"", ""$1, $2""), ""\d+"", """")), """")"),"Antipolo, Rizal")</f>
        <v>Antipolo, Rizal</v>
      </c>
    </row>
    <row r="794">
      <c r="A794" s="1" t="s">
        <v>2268</v>
      </c>
      <c r="B794" s="1" t="s">
        <v>2269</v>
      </c>
      <c r="C794" s="1" t="s">
        <v>622</v>
      </c>
      <c r="D794" s="1">
        <v>12.879721</v>
      </c>
      <c r="E794" s="1">
        <v>121.774017</v>
      </c>
      <c r="F794" s="1" t="s">
        <v>47</v>
      </c>
      <c r="G794" s="3" t="str">
        <f>IFERROR(__xludf.DUMMYFUNCTION("IF(REGEXMATCH(F794, ""(?:.*,\s*)?([^,]+),\s*([^,]+),\s*Philippines.*""), TRIM(REGEXREPLACE(REGEXREPLACE(F794, ""(?:.*,\s*)?([^,]+),\s*([^,]+),\s*Philippines.*"", ""$1, $2""), ""\d+"", """")), """")"),"")</f>
        <v/>
      </c>
    </row>
    <row r="795">
      <c r="A795" s="1" t="s">
        <v>2270</v>
      </c>
      <c r="B795" s="1" t="s">
        <v>2269</v>
      </c>
      <c r="C795" s="1" t="s">
        <v>766</v>
      </c>
      <c r="D795" s="1">
        <v>12.879721</v>
      </c>
      <c r="E795" s="1">
        <v>121.774017</v>
      </c>
      <c r="F795" s="1" t="s">
        <v>47</v>
      </c>
      <c r="G795" s="3" t="str">
        <f>IFERROR(__xludf.DUMMYFUNCTION("IF(REGEXMATCH(F795, ""(?:.*,\s*)?([^,]+),\s*([^,]+),\s*Philippines.*""), TRIM(REGEXREPLACE(REGEXREPLACE(F795, ""(?:.*,\s*)?([^,]+),\s*([^,]+),\s*Philippines.*"", ""$1, $2""), ""\d+"", """")), """")"),"")</f>
        <v/>
      </c>
    </row>
    <row r="796">
      <c r="A796" s="1" t="s">
        <v>2271</v>
      </c>
      <c r="B796" s="1" t="s">
        <v>2272</v>
      </c>
      <c r="C796" s="1" t="s">
        <v>13</v>
      </c>
      <c r="D796" s="1">
        <v>14.7896353</v>
      </c>
      <c r="E796" s="1">
        <v>122.1859572</v>
      </c>
      <c r="F796" s="1" t="s">
        <v>2273</v>
      </c>
      <c r="G796" s="3" t="str">
        <f>IFERROR(__xludf.DUMMYFUNCTION("IF(REGEXMATCH(F796, ""(?:.*,\s*)?([^,]+),\s*([^,]+),\s*Philippines.*""), TRIM(REGEXREPLACE(REGEXREPLACE(F796, ""(?:.*,\s*)?([^,]+),\s*([^,]+),\s*Philippines.*"", ""$1, $2""), ""\d+"", """")), """")"),"Patnanungan, Quezon")</f>
        <v>Patnanungan, Quezon</v>
      </c>
    </row>
    <row r="797">
      <c r="A797" s="1" t="s">
        <v>2274</v>
      </c>
      <c r="B797" s="1" t="s">
        <v>2275</v>
      </c>
      <c r="C797" s="1" t="s">
        <v>9</v>
      </c>
      <c r="D797" s="1">
        <v>14.0019045</v>
      </c>
      <c r="E797" s="1">
        <v>120.8868482</v>
      </c>
      <c r="F797" s="1" t="s">
        <v>2276</v>
      </c>
      <c r="G797" s="3" t="str">
        <f>IFERROR(__xludf.DUMMYFUNCTION("IF(REGEXMATCH(F797, ""(?:.*,\s*)?([^,]+),\s*([^,]+),\s*Philippines.*""), TRIM(REGEXREPLACE(REGEXREPLACE(F797, ""(?:.*,\s*)?([^,]+),\s*([^,]+),\s*Philippines.*"", ""$1, $2""), ""\d+"", """")), """")"),"Payapa Rd, Payapa Ilaya")</f>
        <v>Payapa Rd, Payapa Ilaya</v>
      </c>
    </row>
    <row r="798">
      <c r="A798" s="1" t="s">
        <v>2277</v>
      </c>
      <c r="B798" s="1" t="s">
        <v>2278</v>
      </c>
      <c r="C798" s="1" t="s">
        <v>9</v>
      </c>
      <c r="D798" s="1">
        <v>14.1282425</v>
      </c>
      <c r="E798" s="1">
        <v>120.9078459</v>
      </c>
      <c r="F798" s="1" t="s">
        <v>2279</v>
      </c>
      <c r="G798" s="3" t="str">
        <f>IFERROR(__xludf.DUMMYFUNCTION("IF(REGEXMATCH(F798, ""(?:.*,\s*)?([^,]+),\s*([^,]+),\s*Philippines.*""), TRIM(REGEXREPLACE(REGEXREPLACE(F798, ""(?:.*,\s*)?([^,]+),\s*([^,]+),\s*Philippines.*"", ""$1, $2""), ""\d+"", """")), """")"),"Mendez, Cavite")</f>
        <v>Mendez, Cavite</v>
      </c>
    </row>
    <row r="799">
      <c r="A799" s="1" t="s">
        <v>2280</v>
      </c>
      <c r="B799" s="1" t="s">
        <v>2281</v>
      </c>
      <c r="C799" s="1" t="s">
        <v>13</v>
      </c>
      <c r="D799" s="1">
        <v>13.6343515</v>
      </c>
      <c r="E799" s="1">
        <v>121.0721288</v>
      </c>
      <c r="F799" s="1" t="s">
        <v>2282</v>
      </c>
      <c r="G799" s="3" t="str">
        <f>IFERROR(__xludf.DUMMYFUNCTION("IF(REGEXMATCH(F799, ""(?:.*,\s*)?([^,]+),\s*([^,]+),\s*Philippines.*""), TRIM(REGEXREPLACE(REGEXREPLACE(F799, ""(?:.*,\s*)?([^,]+),\s*([^,]+),\s*Philippines.*"", ""$1, $2""), ""\d+"", """")), """")"),"Batangas City, Batangas")</f>
        <v>Batangas City, Batangas</v>
      </c>
    </row>
    <row r="800">
      <c r="A800" s="1" t="s">
        <v>2283</v>
      </c>
      <c r="B800" s="1" t="s">
        <v>2284</v>
      </c>
      <c r="C800" s="1" t="s">
        <v>9</v>
      </c>
      <c r="D800" s="1">
        <v>14.3192392</v>
      </c>
      <c r="E800" s="1">
        <v>120.8628844</v>
      </c>
      <c r="F800" s="1" t="s">
        <v>2285</v>
      </c>
      <c r="G800" s="3" t="str">
        <f>IFERROR(__xludf.DUMMYFUNCTION("IF(REGEXMATCH(F800, ""(?:.*,\s*)?([^,]+),\s*([^,]+),\s*Philippines.*""), TRIM(REGEXREPLACE(REGEXREPLACE(F800, ""(?:.*,\s*)?([^,]+),\s*([^,]+),\s*Philippines.*"", ""$1, $2""), ""\d+"", """")), """")"),"Tanza, Cavite")</f>
        <v>Tanza, Cavite</v>
      </c>
    </row>
    <row r="801">
      <c r="A801" s="1" t="s">
        <v>2286</v>
      </c>
      <c r="B801" s="1" t="s">
        <v>2287</v>
      </c>
      <c r="C801" s="1" t="s">
        <v>13</v>
      </c>
      <c r="D801" s="1">
        <v>14.1936484</v>
      </c>
      <c r="E801" s="1">
        <v>121.926976</v>
      </c>
      <c r="F801" s="1" t="s">
        <v>2288</v>
      </c>
      <c r="G801" s="3" t="str">
        <f>IFERROR(__xludf.DUMMYFUNCTION("IF(REGEXMATCH(F801, ""(?:.*,\s*)?([^,]+),\s*([^,]+),\s*Philippines.*""), TRIM(REGEXREPLACE(REGEXREPLACE(F801, ""(?:.*,\s*)?([^,]+),\s*([^,]+),\s*Philippines.*"", ""$1, $2""), ""\d+"", """")), """")"),"Perez, Quezon")</f>
        <v>Perez, Quezon</v>
      </c>
    </row>
    <row r="802">
      <c r="A802" s="1" t="s">
        <v>2289</v>
      </c>
      <c r="B802" s="1" t="s">
        <v>2290</v>
      </c>
      <c r="C802" s="1" t="s">
        <v>9</v>
      </c>
      <c r="D802" s="1">
        <v>14.5563037</v>
      </c>
      <c r="E802" s="1">
        <v>121.1407929</v>
      </c>
      <c r="F802" s="1" t="s">
        <v>2291</v>
      </c>
      <c r="G802" s="3" t="str">
        <f>IFERROR(__xludf.DUMMYFUNCTION("IF(REGEXMATCH(F802, ""(?:.*,\s*)?([^,]+),\s*([^,]+),\s*Philippines.*""), TRIM(REGEXREPLACE(REGEXREPLACE(F802, ""(?:.*,\s*)?([^,]+),\s*([^,]+),\s*Philippines.*"", ""$1, $2""), ""\d+"", """")), """")"),"Taytay, Rizal")</f>
        <v>Taytay, Rizal</v>
      </c>
    </row>
    <row r="803">
      <c r="A803" s="1" t="s">
        <v>2292</v>
      </c>
      <c r="B803" s="1" t="s">
        <v>2293</v>
      </c>
      <c r="C803" s="1" t="s">
        <v>13</v>
      </c>
      <c r="D803" s="1">
        <v>14.1597258</v>
      </c>
      <c r="E803" s="1">
        <v>121.2158882</v>
      </c>
      <c r="F803" s="1" t="s">
        <v>2294</v>
      </c>
      <c r="G803" s="3" t="str">
        <f>IFERROR(__xludf.DUMMYFUNCTION("IF(REGEXMATCH(F803, ""(?:.*,\s*)?([^,]+),\s*([^,]+),\s*Philippines.*""), TRIM(REGEXREPLACE(REGEXREPLACE(F803, ""(?:.*,\s*)?([^,]+),\s*([^,]+),\s*Philippines.*"", ""$1, $2""), ""\d+"", """")), """")"),"Los Baños, Laguna")</f>
        <v>Los Baños, Laguna</v>
      </c>
    </row>
    <row r="804">
      <c r="A804" s="1" t="s">
        <v>2295</v>
      </c>
      <c r="B804" s="1" t="s">
        <v>2296</v>
      </c>
      <c r="C804" s="1" t="s">
        <v>13</v>
      </c>
      <c r="D804" s="1">
        <v>13.7590676</v>
      </c>
      <c r="E804" s="1">
        <v>121.0915785</v>
      </c>
      <c r="F804" s="1" t="s">
        <v>2297</v>
      </c>
      <c r="G804" s="3" t="str">
        <f>IFERROR(__xludf.DUMMYFUNCTION("IF(REGEXMATCH(F804, ""(?:.*,\s*)?([^,]+),\s*([^,]+),\s*Philippines.*""), TRIM(REGEXREPLACE(REGEXREPLACE(F804, ""(?:.*,\s*)?([^,]+),\s*([^,]+),\s*Philippines.*"", ""$1, $2""), ""\d+"", """")), """")"),"Batangas City, Batangas")</f>
        <v>Batangas City, Batangas</v>
      </c>
    </row>
    <row r="805">
      <c r="A805" s="1" t="s">
        <v>2298</v>
      </c>
      <c r="B805" s="1" t="s">
        <v>2299</v>
      </c>
      <c r="C805" s="1" t="s">
        <v>9</v>
      </c>
      <c r="D805" s="1">
        <v>14.4962506</v>
      </c>
      <c r="E805" s="1">
        <v>121.2916988</v>
      </c>
      <c r="F805" s="1" t="s">
        <v>2300</v>
      </c>
      <c r="G805" s="3" t="str">
        <f>IFERROR(__xludf.DUMMYFUNCTION("IF(REGEXMATCH(F805, ""(?:.*,\s*)?([^,]+),\s*([^,]+),\s*Philippines.*""), TRIM(REGEXREPLACE(REGEXREPLACE(F805, ""(?:.*,\s*)?([^,]+),\s*([^,]+),\s*Philippines.*"", ""$1, $2""), ""\d+"", """")), """")"),"Tanay, Rizal")</f>
        <v>Tanay, Rizal</v>
      </c>
    </row>
    <row r="806">
      <c r="A806" s="1" t="s">
        <v>2301</v>
      </c>
      <c r="B806" s="1" t="s">
        <v>2302</v>
      </c>
      <c r="C806" s="1" t="s">
        <v>9</v>
      </c>
      <c r="D806" s="1">
        <v>14.3147078</v>
      </c>
      <c r="E806" s="1">
        <v>121.1123219</v>
      </c>
      <c r="F806" s="1" t="s">
        <v>637</v>
      </c>
      <c r="G806" s="3" t="str">
        <f>IFERROR(__xludf.DUMMYFUNCTION("IF(REGEXMATCH(F806, ""(?:.*,\s*)?([^,]+),\s*([^,]+),\s*Philippines.*""), TRIM(REGEXREPLACE(REGEXREPLACE(F806, ""(?:.*,\s*)?([^,]+),\s*([^,]+),\s*Philippines.*"", ""$1, $2""), ""\d+"", """")), """")"),"City of Santa Rosa, Laguna")</f>
        <v>City of Santa Rosa, Laguna</v>
      </c>
    </row>
    <row r="807">
      <c r="A807" s="1" t="s">
        <v>2303</v>
      </c>
      <c r="B807" s="1" t="s">
        <v>2304</v>
      </c>
      <c r="C807" s="1" t="s">
        <v>9</v>
      </c>
      <c r="D807" s="1">
        <v>14.5050594</v>
      </c>
      <c r="E807" s="1">
        <v>121.299799</v>
      </c>
      <c r="F807" s="1" t="s">
        <v>2305</v>
      </c>
      <c r="G807" s="3" t="str">
        <f>IFERROR(__xludf.DUMMYFUNCTION("IF(REGEXMATCH(F807, ""(?:.*,\s*)?([^,]+),\s*([^,]+),\s*Philippines.*""), TRIM(REGEXREPLACE(REGEXREPLACE(F807, ""(?:.*,\s*)?([^,]+),\s*([^,]+),\s*Philippines.*"", ""$1, $2""), ""\d+"", """")), """")"),"Tanay, Rizal")</f>
        <v>Tanay, Rizal</v>
      </c>
    </row>
    <row r="808">
      <c r="A808" s="1" t="s">
        <v>2306</v>
      </c>
      <c r="B808" s="1" t="s">
        <v>2307</v>
      </c>
      <c r="C808" s="1" t="s">
        <v>9</v>
      </c>
      <c r="D808" s="1">
        <v>14.2837291</v>
      </c>
      <c r="E808" s="1">
        <v>120.9990954</v>
      </c>
      <c r="F808" s="1" t="s">
        <v>2308</v>
      </c>
      <c r="G808" s="3" t="str">
        <f>IFERROR(__xludf.DUMMYFUNCTION("IF(REGEXMATCH(F808, ""(?:.*,\s*)?([^,]+),\s*([^,]+),\s*Philippines.*""), TRIM(REGEXREPLACE(REGEXREPLACE(F808, ""(?:.*,\s*)?([^,]+),\s*([^,]+),\s*Philippines.*"", ""$1, $2""), ""\d+"", """")), """")"),"General Mariano Alvarez, Cavite")</f>
        <v>General Mariano Alvarez, Cavite</v>
      </c>
    </row>
    <row r="809">
      <c r="A809" s="1" t="s">
        <v>2309</v>
      </c>
      <c r="B809" s="1" t="s">
        <v>2310</v>
      </c>
      <c r="C809" s="1" t="s">
        <v>9</v>
      </c>
      <c r="D809" s="1">
        <v>14.2828977</v>
      </c>
      <c r="E809" s="1">
        <v>121.4154606</v>
      </c>
      <c r="F809" s="1" t="s">
        <v>2311</v>
      </c>
      <c r="G809" s="3" t="str">
        <f>IFERROR(__xludf.DUMMYFUNCTION("IF(REGEXMATCH(F809, ""(?:.*,\s*)?([^,]+),\s*([^,]+),\s*Philippines.*""), TRIM(REGEXREPLACE(REGEXREPLACE(F809, ""(?:.*,\s*)?([^,]+),\s*([^,]+),\s*Philippines.*"", ""$1, $2""), ""\d+"", """")), """")"),"Santa Cruz, Laguna")</f>
        <v>Santa Cruz, Laguna</v>
      </c>
    </row>
    <row r="810">
      <c r="A810" s="1" t="s">
        <v>2312</v>
      </c>
      <c r="B810" s="1" t="s">
        <v>2313</v>
      </c>
      <c r="C810" s="1" t="s">
        <v>9</v>
      </c>
      <c r="D810" s="1">
        <v>14.2052359</v>
      </c>
      <c r="E810" s="1">
        <v>121.1564407</v>
      </c>
      <c r="F810" s="1" t="s">
        <v>2314</v>
      </c>
      <c r="G810" s="3" t="str">
        <f>IFERROR(__xludf.DUMMYFUNCTION("IF(REGEXMATCH(F810, ""(?:.*,\s*)?([^,]+),\s*([^,]+),\s*Philippines.*""), TRIM(REGEXREPLACE(REGEXREPLACE(F810, ""(?:.*,\s*)?([^,]+),\s*([^,]+),\s*Philippines.*"", ""$1, $2""), ""\d+"", """")), """")"),"Calamba, Laguna")</f>
        <v>Calamba, Laguna</v>
      </c>
    </row>
    <row r="811">
      <c r="A811" s="1" t="s">
        <v>2315</v>
      </c>
      <c r="B811" s="1" t="s">
        <v>2316</v>
      </c>
      <c r="C811" s="1" t="s">
        <v>9</v>
      </c>
      <c r="D811" s="1">
        <v>14.2814249</v>
      </c>
      <c r="E811" s="1">
        <v>121.4159685</v>
      </c>
      <c r="F811" s="1" t="s">
        <v>2317</v>
      </c>
      <c r="G811" s="3" t="str">
        <f>IFERROR(__xludf.DUMMYFUNCTION("IF(REGEXMATCH(F811, ""(?:.*,\s*)?([^,]+),\s*([^,]+),\s*Philippines.*""), TRIM(REGEXREPLACE(REGEXREPLACE(F811, ""(?:.*,\s*)?([^,]+),\s*([^,]+),\s*Philippines.*"", ""$1, $2""), ""\d+"", """")), """")"),"Santa Cruz, Laguna")</f>
        <v>Santa Cruz, Laguna</v>
      </c>
    </row>
    <row r="812">
      <c r="A812" s="1" t="s">
        <v>2318</v>
      </c>
      <c r="B812" s="1" t="s">
        <v>2319</v>
      </c>
      <c r="C812" s="1" t="s">
        <v>9</v>
      </c>
      <c r="D812" s="1">
        <v>13.968427</v>
      </c>
      <c r="E812" s="1">
        <v>122.5337561</v>
      </c>
      <c r="F812" s="1" t="s">
        <v>2320</v>
      </c>
      <c r="G812" s="3" t="str">
        <f>IFERROR(__xludf.DUMMYFUNCTION("IF(REGEXMATCH(F812, ""(?:.*,\s*)?([^,]+),\s*([^,]+),\s*Philippines.*""), TRIM(REGEXREPLACE(REGEXREPLACE(F812, ""(?:.*,\s*)?([^,]+),\s*([^,]+),\s*Philippines.*"", ""$1, $2""), ""\d+"", """")), """")"),"Tagkawayan, Quezon")</f>
        <v>Tagkawayan, Quezon</v>
      </c>
    </row>
    <row r="813">
      <c r="A813" s="1" t="s">
        <v>2321</v>
      </c>
      <c r="B813" s="1" t="s">
        <v>2322</v>
      </c>
      <c r="C813" s="1" t="s">
        <v>9</v>
      </c>
      <c r="D813" s="1">
        <v>13.9213941</v>
      </c>
      <c r="E813" s="1">
        <v>122.1004575</v>
      </c>
      <c r="F813" s="1" t="s">
        <v>2323</v>
      </c>
      <c r="G813" s="3" t="str">
        <f>IFERROR(__xludf.DUMMYFUNCTION("IF(REGEXMATCH(F813, ""(?:.*,\s*)?([^,]+),\s*([^,]+),\s*Philippines.*""), TRIM(REGEXREPLACE(REGEXREPLACE(F813, ""(?:.*,\s*)?([^,]+),\s*([^,]+),\s*Philippines.*"", ""$1, $2""), ""\d+"", """")), """")"),"Gumaca, Quezon")</f>
        <v>Gumaca, Quezon</v>
      </c>
    </row>
    <row r="814">
      <c r="A814" s="1" t="s">
        <v>2324</v>
      </c>
      <c r="B814" s="1" t="s">
        <v>2325</v>
      </c>
      <c r="C814" s="1" t="s">
        <v>9</v>
      </c>
      <c r="D814" s="1">
        <v>13.5956979</v>
      </c>
      <c r="E814" s="1">
        <v>122.3232649</v>
      </c>
      <c r="F814" s="1" t="s">
        <v>2326</v>
      </c>
      <c r="G814" s="3" t="str">
        <f>IFERROR(__xludf.DUMMYFUNCTION("IF(REGEXMATCH(F814, ""(?:.*,\s*)?([^,]+),\s*([^,]+),\s*Philippines.*""), TRIM(REGEXREPLACE(REGEXREPLACE(F814, ""(?:.*,\s*)?([^,]+),\s*([^,]+),\s*Philippines.*"", ""$1, $2""), ""\d+"", """")), """")"),"Catanauan, Quezon")</f>
        <v>Catanauan, Quezon</v>
      </c>
    </row>
    <row r="815">
      <c r="A815" s="1" t="s">
        <v>2327</v>
      </c>
      <c r="B815" s="1" t="s">
        <v>2328</v>
      </c>
      <c r="C815" s="1" t="s">
        <v>9</v>
      </c>
      <c r="D815" s="1">
        <v>13.9413957</v>
      </c>
      <c r="E815" s="1">
        <v>121.6234471</v>
      </c>
      <c r="F815" s="1" t="s">
        <v>2329</v>
      </c>
      <c r="G815" s="3" t="str">
        <f>IFERROR(__xludf.DUMMYFUNCTION("IF(REGEXMATCH(F815, ""(?:.*,\s*)?([^,]+),\s*([^,]+),\s*Philippines.*""), TRIM(REGEXREPLACE(REGEXREPLACE(F815, ""(?:.*,\s*)?([^,]+),\s*([^,]+),\s*Philippines.*"", ""$1, $2""), ""\d+"", """")), """")"),"Lucena City, Quezon")</f>
        <v>Lucena City, Quezon</v>
      </c>
    </row>
    <row r="816">
      <c r="A816" s="1" t="s">
        <v>2330</v>
      </c>
      <c r="C816" s="1" t="s">
        <v>9</v>
      </c>
      <c r="D816" s="1">
        <v>14.2491039</v>
      </c>
      <c r="E816" s="1">
        <v>121.3604257</v>
      </c>
      <c r="F816" s="1" t="s">
        <v>2331</v>
      </c>
      <c r="G816" s="3" t="str">
        <f>IFERROR(__xludf.DUMMYFUNCTION("IF(REGEXMATCH(F816, ""(?:.*,\s*)?([^,]+),\s*([^,]+),\s*Philippines.*""), TRIM(REGEXREPLACE(REGEXREPLACE(F816, ""(?:.*,\s*)?([^,]+),\s*([^,]+),\s*Philippines.*"", ""$1, $2""), ""\d+"", """")), """")"),"Pila, Laguna")</f>
        <v>Pila, Laguna</v>
      </c>
    </row>
    <row r="817">
      <c r="A817" s="1" t="s">
        <v>2332</v>
      </c>
      <c r="B817" s="1" t="s">
        <v>2333</v>
      </c>
      <c r="C817" s="1" t="s">
        <v>13</v>
      </c>
      <c r="D817" s="1">
        <v>13.5537412</v>
      </c>
      <c r="E817" s="1">
        <v>123.2756171</v>
      </c>
      <c r="F817" s="1" t="s">
        <v>2334</v>
      </c>
      <c r="G817" s="3" t="str">
        <f>IFERROR(__xludf.DUMMYFUNCTION("IF(REGEXMATCH(F817, ""(?:.*,\s*)?([^,]+),\s*([^,]+),\s*Philippines.*""), TRIM(REGEXREPLACE(REGEXREPLACE(F817, ""(?:.*,\s*)?([^,]+),\s*([^,]+),\s*Philippines.*"", ""$1, $2""), ""\d+"", """")), """")"),"Pili, Camarines Sur")</f>
        <v>Pili, Camarines Sur</v>
      </c>
    </row>
    <row r="818">
      <c r="A818" s="1" t="s">
        <v>2335</v>
      </c>
      <c r="B818" s="1" t="s">
        <v>2336</v>
      </c>
      <c r="C818" s="1" t="s">
        <v>13</v>
      </c>
      <c r="D818" s="1">
        <v>14.4810968</v>
      </c>
      <c r="E818" s="1">
        <v>121.3051977</v>
      </c>
      <c r="F818" s="1" t="s">
        <v>2337</v>
      </c>
      <c r="G818" s="3" t="str">
        <f>IFERROR(__xludf.DUMMYFUNCTION("IF(REGEXMATCH(F818, ""(?:.*,\s*)?([^,]+),\s*([^,]+),\s*Philippines.*""), TRIM(REGEXREPLACE(REGEXREPLACE(F818, ""(?:.*,\s*)?([^,]+),\s*([^,]+),\s*Philippines.*"", ""$1, $2""), ""\d+"", """")), """")"),"Pililla, Rizal")</f>
        <v>Pililla, Rizal</v>
      </c>
    </row>
    <row r="819">
      <c r="A819" s="1" t="s">
        <v>2338</v>
      </c>
      <c r="B819" s="1" t="s">
        <v>2339</v>
      </c>
      <c r="C819" s="1" t="s">
        <v>13</v>
      </c>
      <c r="D819" s="1">
        <v>14.4770404</v>
      </c>
      <c r="E819" s="1">
        <v>121.3144306</v>
      </c>
      <c r="F819" s="1" t="s">
        <v>2340</v>
      </c>
      <c r="G819" s="3" t="str">
        <f>IFERROR(__xludf.DUMMYFUNCTION("IF(REGEXMATCH(F819, ""(?:.*,\s*)?([^,]+),\s*([^,]+),\s*Philippines.*""), TRIM(REGEXREPLACE(REGEXREPLACE(F819, ""(?:.*,\s*)?([^,]+),\s*([^,]+),\s*Philippines.*"", ""$1, $2""), ""\d+"", """")), """")"),"Pililla, Rizal")</f>
        <v>Pililla, Rizal</v>
      </c>
    </row>
    <row r="820">
      <c r="A820" s="1" t="s">
        <v>2341</v>
      </c>
      <c r="B820" s="1" t="s">
        <v>2342</v>
      </c>
      <c r="C820" s="1" t="s">
        <v>9</v>
      </c>
      <c r="D820" s="1">
        <v>14.416225</v>
      </c>
      <c r="E820" s="1">
        <v>120.855228</v>
      </c>
      <c r="F820" s="1" t="s">
        <v>2343</v>
      </c>
      <c r="G820" s="3" t="str">
        <f>IFERROR(__xludf.DUMMYFUNCTION("IF(REGEXMATCH(F820, ""(?:.*,\s*)?([^,]+),\s*([^,]+),\s*Philippines.*""), TRIM(REGEXREPLACE(REGEXREPLACE(F820, ""(?:.*,\s*)?([^,]+),\s*([^,]+),\s*Philippines.*"", ""$1, $2""), ""\d+"", """")), """")"),"Cavite, Cavite")</f>
        <v>Cavite, Cavite</v>
      </c>
    </row>
    <row r="821">
      <c r="A821" s="1" t="s">
        <v>2344</v>
      </c>
      <c r="B821" s="1" t="s">
        <v>2345</v>
      </c>
      <c r="C821" s="1" t="s">
        <v>13</v>
      </c>
      <c r="D821" s="1">
        <v>13.7534884</v>
      </c>
      <c r="E821" s="1">
        <v>121.2497099</v>
      </c>
      <c r="F821" s="1" t="s">
        <v>2346</v>
      </c>
      <c r="G821" s="3" t="str">
        <f>IFERROR(__xludf.DUMMYFUNCTION("IF(REGEXMATCH(F821, ""(?:.*,\s*)?([^,]+),\s*([^,]+),\s*Philippines.*""), TRIM(REGEXREPLACE(REGEXREPLACE(F821, ""(?:.*,\s*)?([^,]+),\s*([^,]+),\s*Philippines.*"", ""$1, $2""), ""\d+"", """")), """")"),"Taysan, Batangas")</f>
        <v>Taysan, Batangas</v>
      </c>
    </row>
    <row r="822">
      <c r="A822" s="1" t="s">
        <v>2347</v>
      </c>
      <c r="B822" s="1" t="s">
        <v>2348</v>
      </c>
      <c r="C822" s="1" t="s">
        <v>13</v>
      </c>
      <c r="D822" s="1">
        <v>13.9007214</v>
      </c>
      <c r="E822" s="1">
        <v>121.2025336</v>
      </c>
      <c r="F822" s="1" t="s">
        <v>2349</v>
      </c>
      <c r="G822" s="3" t="str">
        <f>IFERROR(__xludf.DUMMYFUNCTION("IF(REGEXMATCH(F822, ""(?:.*,\s*)?([^,]+),\s*([^,]+),\s*Philippines.*""), TRIM(REGEXREPLACE(REGEXREPLACE(F822, ""(?:.*,\s*)?([^,]+),\s*([^,]+),\s*Philippines.*"", ""$1, $2""), ""\d+"", """")), """")"),"Lipa City, Batangas")</f>
        <v>Lipa City, Batangas</v>
      </c>
    </row>
    <row r="823">
      <c r="A823" s="1" t="s">
        <v>2350</v>
      </c>
      <c r="B823" s="1" t="s">
        <v>2351</v>
      </c>
      <c r="C823" s="1" t="s">
        <v>13</v>
      </c>
      <c r="D823" s="1">
        <v>13.9312231</v>
      </c>
      <c r="E823" s="1">
        <v>121.0985727</v>
      </c>
      <c r="F823" s="1" t="s">
        <v>2352</v>
      </c>
      <c r="G823" s="3" t="str">
        <f>IFERROR(__xludf.DUMMYFUNCTION("IF(REGEXMATCH(F823, ""(?:.*,\s*)?([^,]+),\s*([^,]+),\s*Philippines.*""), TRIM(REGEXREPLACE(REGEXREPLACE(F823, ""(?:.*,\s*)?([^,]+),\s*([^,]+),\s*Philippines.*"", ""$1, $2""), ""\d+"", """")), """")"),"Batangas City, Batangas")</f>
        <v>Batangas City, Batangas</v>
      </c>
    </row>
    <row r="824">
      <c r="A824" s="1" t="s">
        <v>2353</v>
      </c>
      <c r="B824" s="1" t="s">
        <v>2354</v>
      </c>
      <c r="C824" s="1" t="s">
        <v>13</v>
      </c>
      <c r="D824" s="1">
        <v>13.6937465</v>
      </c>
      <c r="E824" s="1">
        <v>121.0578756</v>
      </c>
      <c r="F824" s="1" t="s">
        <v>2355</v>
      </c>
      <c r="G824" s="3" t="str">
        <f>IFERROR(__xludf.DUMMYFUNCTION("IF(REGEXMATCH(F824, ""(?:.*,\s*)?([^,]+),\s*([^,]+),\s*Philippines.*""), TRIM(REGEXREPLACE(REGEXREPLACE(F824, ""(?:.*,\s*)?([^,]+),\s*([^,]+),\s*Philippines.*"", ""$1, $2""), ""\d+"", """")), """")"),"Batangas City, Batangas")</f>
        <v>Batangas City, Batangas</v>
      </c>
    </row>
    <row r="825">
      <c r="A825" s="1" t="s">
        <v>2356</v>
      </c>
      <c r="B825" s="1" t="s">
        <v>2357</v>
      </c>
      <c r="C825" s="1" t="s">
        <v>13</v>
      </c>
      <c r="D825" s="1">
        <v>14.6685375</v>
      </c>
      <c r="E825" s="1">
        <v>121.2050156</v>
      </c>
      <c r="F825" s="1" t="s">
        <v>2358</v>
      </c>
      <c r="G825" s="3" t="str">
        <f>IFERROR(__xludf.DUMMYFUNCTION("IF(REGEXMATCH(F825, ""(?:.*,\s*)?([^,]+),\s*([^,]+),\s*Philippines.*""), TRIM(REGEXREPLACE(REGEXREPLACE(F825, ""(?:.*,\s*)?([^,]+),\s*([^,]+),\s*Philippines.*"", ""$1, $2""), ""\d+"", """")), """")"),"San Mateo, Rizal")</f>
        <v>San Mateo, Rizal</v>
      </c>
    </row>
    <row r="826">
      <c r="A826" s="1" t="s">
        <v>2359</v>
      </c>
      <c r="B826" s="1" t="s">
        <v>2360</v>
      </c>
      <c r="C826" s="1" t="s">
        <v>13</v>
      </c>
      <c r="D826" s="1">
        <v>13.8913018</v>
      </c>
      <c r="E826" s="1">
        <v>122.3645949</v>
      </c>
      <c r="F826" s="1" t="s">
        <v>2361</v>
      </c>
      <c r="G826" s="3" t="str">
        <f>IFERROR(__xludf.DUMMYFUNCTION("IF(REGEXMATCH(F826, ""(?:.*,\s*)?([^,]+),\s*([^,]+),\s*Philippines.*""), TRIM(REGEXREPLACE(REGEXREPLACE(F826, ""(?:.*,\s*)?([^,]+),\s*([^,]+),\s*Philippines.*"", ""$1, $2""), ""\d+"", """")), """")"),"Lopez, Quezon")</f>
        <v>Lopez, Quezon</v>
      </c>
    </row>
    <row r="827">
      <c r="A827" s="1" t="s">
        <v>2362</v>
      </c>
      <c r="B827" s="1" t="s">
        <v>2363</v>
      </c>
      <c r="C827" s="1" t="s">
        <v>13</v>
      </c>
      <c r="D827" s="1">
        <v>13.7944796</v>
      </c>
      <c r="E827" s="1">
        <v>122.0927492</v>
      </c>
      <c r="F827" s="1" t="s">
        <v>2364</v>
      </c>
      <c r="G827" s="3" t="str">
        <f>IFERROR(__xludf.DUMMYFUNCTION("IF(REGEXMATCH(F827, ""(?:.*,\s*)?([^,]+),\s*([^,]+),\s*Philippines.*""), TRIM(REGEXREPLACE(REGEXREPLACE(F827, ""(?:.*,\s*)?([^,]+),\s*([^,]+),\s*Philippines.*"", ""$1, $2""), ""\d+"", """")), """")"),"Pitogo, Quezon")</f>
        <v>Pitogo, Quezon</v>
      </c>
    </row>
    <row r="828">
      <c r="A828" s="1" t="s">
        <v>2365</v>
      </c>
      <c r="B828" s="1" t="s">
        <v>2366</v>
      </c>
      <c r="C828" s="1" t="s">
        <v>9</v>
      </c>
      <c r="D828" s="1">
        <v>14.0448491</v>
      </c>
      <c r="E828" s="1">
        <v>120.941153</v>
      </c>
      <c r="F828" s="1" t="s">
        <v>2367</v>
      </c>
      <c r="G828" s="3" t="str">
        <f>IFERROR(__xludf.DUMMYFUNCTION("IF(REGEXMATCH(F828, ""(?:.*,\s*)?([^,]+),\s*([^,]+),\s*Philippines.*""), TRIM(REGEXREPLACE(REGEXREPLACE(F828, ""(?:.*,\s*)?([^,]+),\s*([^,]+),\s*Philippines.*"", ""$1, $2""), ""\d+"", """")), """")"),"Laurel, Batangas")</f>
        <v>Laurel, Batangas</v>
      </c>
    </row>
    <row r="829">
      <c r="A829" s="1" t="s">
        <v>2368</v>
      </c>
      <c r="B829" s="1" t="s">
        <v>2369</v>
      </c>
      <c r="C829" s="1" t="s">
        <v>13</v>
      </c>
      <c r="D829" s="1">
        <v>14.1149985</v>
      </c>
      <c r="E829" s="1">
        <v>121.4162199</v>
      </c>
      <c r="F829" s="1" t="s">
        <v>2370</v>
      </c>
      <c r="G829" s="3" t="str">
        <f>IFERROR(__xludf.DUMMYFUNCTION("IF(REGEXMATCH(F829, ""(?:.*,\s*)?([^,]+),\s*([^,]+),\s*Philippines.*""), TRIM(REGEXREPLACE(REGEXREPLACE(F829, ""(?:.*,\s*)?([^,]+),\s*([^,]+),\s*Philippines.*"", ""$1, $2""), ""\d+"", """")), """")"),"Nagcarlan, Laguna")</f>
        <v>Nagcarlan, Laguna</v>
      </c>
    </row>
    <row r="830">
      <c r="A830" s="1" t="s">
        <v>2371</v>
      </c>
      <c r="B830" s="1" t="s">
        <v>2372</v>
      </c>
      <c r="C830" s="1" t="s">
        <v>9</v>
      </c>
      <c r="D830" s="1">
        <v>14.3261975</v>
      </c>
      <c r="E830" s="1">
        <v>120.9354352</v>
      </c>
      <c r="F830" s="1" t="s">
        <v>2373</v>
      </c>
      <c r="G830" s="3" t="str">
        <f>IFERROR(__xludf.DUMMYFUNCTION("IF(REGEXMATCH(F830, ""(?:.*,\s*)?([^,]+),\s*([^,]+),\s*Philippines.*""), TRIM(REGEXREPLACE(REGEXREPLACE(F830, ""(?:.*,\s*)?([^,]+),\s*([^,]+),\s*Philippines.*"", ""$1, $2""), ""\d+"", """")), """")"),"Dasmariñas, Cavite")</f>
        <v>Dasmariñas, Cavite</v>
      </c>
    </row>
    <row r="831">
      <c r="A831" s="1" t="s">
        <v>2374</v>
      </c>
      <c r="B831" s="1" t="s">
        <v>2375</v>
      </c>
      <c r="C831" s="1" t="s">
        <v>13</v>
      </c>
      <c r="D831" s="1">
        <v>14.7305211</v>
      </c>
      <c r="E831" s="1">
        <v>121.9700618</v>
      </c>
      <c r="F831" s="1" t="s">
        <v>422</v>
      </c>
      <c r="G831" s="3" t="str">
        <f>IFERROR(__xludf.DUMMYFUNCTION("IF(REGEXMATCH(F831, ""(?:.*,\s*)?([^,]+),\s*([^,]+),\s*Philippines.*""), TRIM(REGEXREPLACE(REGEXREPLACE(F831, ""(?:.*,\s*)?([^,]+),\s*([^,]+),\s*Philippines.*"", ""$1, $2""), ""\d+"", """")), """")"),"Polillo, Quezon")</f>
        <v>Polillo, Quezon</v>
      </c>
    </row>
    <row r="832">
      <c r="A832" s="1" t="s">
        <v>2376</v>
      </c>
      <c r="B832" s="1" t="s">
        <v>2377</v>
      </c>
      <c r="C832" s="1" t="s">
        <v>13</v>
      </c>
      <c r="D832" s="1">
        <v>14.7194725</v>
      </c>
      <c r="E832" s="1">
        <v>121.9404207</v>
      </c>
      <c r="F832" s="1" t="s">
        <v>2378</v>
      </c>
      <c r="G832" s="3" t="str">
        <f>IFERROR(__xludf.DUMMYFUNCTION("IF(REGEXMATCH(F832, ""(?:.*,\s*)?([^,]+),\s*([^,]+),\s*Philippines.*""), TRIM(REGEXREPLACE(REGEXREPLACE(F832, ""(?:.*,\s*)?([^,]+),\s*([^,]+),\s*Philippines.*"", ""$1, $2""), ""\d+"", """")), """")"),"Polillo, Quezon")</f>
        <v>Polillo, Quezon</v>
      </c>
    </row>
    <row r="833">
      <c r="A833" s="1" t="s">
        <v>2379</v>
      </c>
      <c r="B833" s="1" t="s">
        <v>2380</v>
      </c>
      <c r="C833" s="1" t="s">
        <v>9</v>
      </c>
      <c r="D833" s="1">
        <v>14.3135397</v>
      </c>
      <c r="E833" s="1">
        <v>121.0783374</v>
      </c>
      <c r="F833" s="1" t="s">
        <v>2381</v>
      </c>
      <c r="G833" s="3" t="str">
        <f>IFERROR(__xludf.DUMMYFUNCTION("IF(REGEXMATCH(F833, ""(?:.*,\s*)?([^,]+),\s*([^,]+),\s*Philippines.*""), TRIM(REGEXREPLACE(REGEXREPLACE(F833, ""(?:.*,\s*)?([^,]+),\s*([^,]+),\s*Philippines.*"", ""$1, $2""), ""\d+"", """")), """")"),"Biñan, Laguna")</f>
        <v>Biñan, Laguna</v>
      </c>
    </row>
    <row r="834">
      <c r="A834" s="1" t="s">
        <v>2382</v>
      </c>
      <c r="B834" s="1" t="s">
        <v>2383</v>
      </c>
      <c r="C834" s="1" t="s">
        <v>9</v>
      </c>
      <c r="D834" s="1">
        <v>14.1452913</v>
      </c>
      <c r="E834" s="1">
        <v>121.311984</v>
      </c>
      <c r="F834" s="1" t="s">
        <v>2384</v>
      </c>
      <c r="G834" s="3" t="str">
        <f>IFERROR(__xludf.DUMMYFUNCTION("IF(REGEXMATCH(F834, ""(?:.*,\s*)?([^,]+),\s*([^,]+),\s*Philippines.*""), TRIM(REGEXREPLACE(REGEXREPLACE(F834, ""(?:.*,\s*)?([^,]+),\s*([^,]+),\s*Philippines.*"", ""$1, $2""), ""\d+"", """")), """")"),"Calauan, Laguna")</f>
        <v>Calauan, Laguna</v>
      </c>
    </row>
    <row r="835">
      <c r="A835" s="1" t="s">
        <v>2385</v>
      </c>
      <c r="B835" s="1" t="s">
        <v>2386</v>
      </c>
      <c r="C835" s="1" t="s">
        <v>9</v>
      </c>
      <c r="D835" s="1">
        <v>14.3344346</v>
      </c>
      <c r="E835" s="1">
        <v>121.0293207</v>
      </c>
      <c r="F835" s="1" t="s">
        <v>2387</v>
      </c>
      <c r="G835" s="3" t="str">
        <f>IFERROR(__xludf.DUMMYFUNCTION("IF(REGEXMATCH(F835, ""(?:.*,\s*)?([^,]+),\s*([^,]+),\s*Philippines.*""), TRIM(REGEXREPLACE(REGEXREPLACE(F835, ""(?:.*,\s*)?([^,]+),\s*([^,]+),\s*Philippines.*"", ""$1, $2""), ""\d+"", """")), """")"),"San Pedro, Laguna")</f>
        <v>San Pedro, Laguna</v>
      </c>
    </row>
    <row r="836">
      <c r="A836" s="1" t="s">
        <v>2388</v>
      </c>
      <c r="B836" s="1" t="s">
        <v>2389</v>
      </c>
      <c r="C836" s="1" t="s">
        <v>9</v>
      </c>
      <c r="D836" s="1">
        <v>14.3134993</v>
      </c>
      <c r="E836" s="1">
        <v>121.106679</v>
      </c>
      <c r="F836" s="1" t="s">
        <v>2390</v>
      </c>
      <c r="G836" s="3" t="str">
        <f>IFERROR(__xludf.DUMMYFUNCTION("IF(REGEXMATCH(F836, ""(?:.*,\s*)?([^,]+),\s*([^,]+),\s*Philippines.*""), TRIM(REGEXREPLACE(REGEXREPLACE(F836, ""(?:.*,\s*)?([^,]+),\s*([^,]+),\s*Philippines.*"", ""$1, $2""), ""\d+"", """")), """")"),"City of Santa Rosa, Laguna")</f>
        <v>City of Santa Rosa, Laguna</v>
      </c>
    </row>
    <row r="837">
      <c r="A837" s="1" t="s">
        <v>2391</v>
      </c>
      <c r="B837" s="1" t="s">
        <v>2392</v>
      </c>
      <c r="C837" s="1" t="s">
        <v>13</v>
      </c>
      <c r="D837" s="1">
        <v>14.3653374</v>
      </c>
      <c r="E837" s="1">
        <v>121.478857</v>
      </c>
      <c r="F837" s="1" t="s">
        <v>2393</v>
      </c>
      <c r="G837" s="3" t="str">
        <f>IFERROR(__xludf.DUMMYFUNCTION("IF(REGEXMATCH(F837, ""(?:.*,\s*)?([^,]+),\s*([^,]+),\s*Philippines.*""), TRIM(REGEXREPLACE(REGEXREPLACE(F837, ""(?:.*,\s*)?([^,]+),\s*([^,]+),\s*Philippines.*"", ""$1, $2""), ""\d+"", """")), """")"),"Paete, Laguna")</f>
        <v>Paete, Laguna</v>
      </c>
    </row>
    <row r="838">
      <c r="A838" s="1" t="s">
        <v>2394</v>
      </c>
      <c r="B838" s="1" t="s">
        <v>2395</v>
      </c>
      <c r="C838" s="1" t="s">
        <v>9</v>
      </c>
      <c r="D838" s="1">
        <v>14.3885115</v>
      </c>
      <c r="E838" s="1">
        <v>120.8475275</v>
      </c>
      <c r="F838" s="1" t="s">
        <v>2396</v>
      </c>
      <c r="G838" s="3" t="str">
        <f>IFERROR(__xludf.DUMMYFUNCTION("IF(REGEXMATCH(F838, ""(?:.*,\s*)?([^,]+),\s*([^,]+),\s*Philippines.*""), TRIM(REGEXREPLACE(REGEXREPLACE(F838, ""(?:.*,\s*)?([^,]+),\s*([^,]+),\s*Philippines.*"", ""$1, $2""), ""\d+"", """")), """")"),"Tanza, Cavite")</f>
        <v>Tanza, Cavite</v>
      </c>
    </row>
    <row r="839">
      <c r="A839" s="1" t="s">
        <v>2397</v>
      </c>
      <c r="B839" s="1" t="s">
        <v>2398</v>
      </c>
      <c r="C839" s="1" t="s">
        <v>9</v>
      </c>
      <c r="D839" s="1">
        <v>14.0110625</v>
      </c>
      <c r="E839" s="1">
        <v>121.1000349</v>
      </c>
      <c r="F839" s="1" t="s">
        <v>2399</v>
      </c>
      <c r="G839" s="3" t="str">
        <f>IFERROR(__xludf.DUMMYFUNCTION("IF(REGEXMATCH(F839, ""(?:.*,\s*)?([^,]+),\s*([^,]+),\s*Philippines.*""), TRIM(REGEXREPLACE(REGEXREPLACE(F839, ""(?:.*,\s*)?([^,]+),\s*([^,]+),\s*Philippines.*"", ""$1, $2""), ""\d+"", """")), """")"),"Balete, Batangas")</f>
        <v>Balete, Batangas</v>
      </c>
    </row>
    <row r="840">
      <c r="A840" s="1" t="s">
        <v>2400</v>
      </c>
      <c r="B840" s="1" t="s">
        <v>2401</v>
      </c>
      <c r="C840" s="1" t="s">
        <v>9</v>
      </c>
      <c r="D840" s="1">
        <v>14.4240482</v>
      </c>
      <c r="E840" s="1">
        <v>120.9736027</v>
      </c>
      <c r="F840" s="1" t="s">
        <v>2402</v>
      </c>
      <c r="G840" s="3" t="str">
        <f>IFERROR(__xludf.DUMMYFUNCTION("IF(REGEXMATCH(F840, ""(?:.*,\s*)?([^,]+),\s*([^,]+),\s*Philippines.*""), TRIM(REGEXREPLACE(REGEXREPLACE(F840, ""(?:.*,\s*)?([^,]+),\s*([^,]+),\s*Philippines.*"", ""$1, $2""), ""\d+"", """")), """")"),"Bacoor, Cavite")</f>
        <v>Bacoor, Cavite</v>
      </c>
    </row>
    <row r="841">
      <c r="A841" s="1" t="s">
        <v>2403</v>
      </c>
      <c r="B841" s="1" t="s">
        <v>2404</v>
      </c>
      <c r="C841" s="1" t="s">
        <v>9</v>
      </c>
      <c r="D841" s="1">
        <v>14.3421943</v>
      </c>
      <c r="E841" s="1">
        <v>120.9617037</v>
      </c>
      <c r="F841" s="1" t="s">
        <v>2405</v>
      </c>
      <c r="G841" s="3" t="str">
        <f>IFERROR(__xludf.DUMMYFUNCTION("IF(REGEXMATCH(F841, ""(?:.*,\s*)?([^,]+),\s*([^,]+),\s*Philippines.*""), TRIM(REGEXREPLACE(REGEXREPLACE(F841, ""(?:.*,\s*)?([^,]+),\s*([^,]+),\s*Philippines.*"", ""$1, $2""), ""\d+"", """")), """")"),"Dasmariñas, Cavite")</f>
        <v>Dasmariñas, Cavite</v>
      </c>
    </row>
    <row r="842">
      <c r="A842" s="1" t="s">
        <v>2406</v>
      </c>
      <c r="B842" s="1" t="s">
        <v>2407</v>
      </c>
      <c r="C842" s="1" t="s">
        <v>13</v>
      </c>
      <c r="D842" s="1">
        <v>13.2313167</v>
      </c>
      <c r="E842" s="1">
        <v>122.5655549</v>
      </c>
      <c r="F842" s="1" t="s">
        <v>2408</v>
      </c>
      <c r="G842" s="3" t="str">
        <f>IFERROR(__xludf.DUMMYFUNCTION("IF(REGEXMATCH(F842, ""(?:.*,\s*)?([^,]+),\s*([^,]+),\s*Philippines.*""), TRIM(REGEXREPLACE(REGEXREPLACE(F842, ""(?:.*,\s*)?([^,]+),\s*([^,]+),\s*Philippines.*"", ""$1, $2""), ""\d+"", """")), """")"),"San Francisco (Aurora), Quezon")</f>
        <v>San Francisco (Aurora), Quezon</v>
      </c>
    </row>
    <row r="843">
      <c r="A843" s="1" t="s">
        <v>2409</v>
      </c>
      <c r="B843" s="1" t="s">
        <v>2410</v>
      </c>
      <c r="C843" s="1" t="s">
        <v>13</v>
      </c>
      <c r="D843" s="1">
        <v>14.1955189</v>
      </c>
      <c r="E843" s="1">
        <v>120.8202318</v>
      </c>
      <c r="F843" s="1" t="s">
        <v>2411</v>
      </c>
      <c r="G843" s="3" t="str">
        <f>IFERROR(__xludf.DUMMYFUNCTION("IF(REGEXMATCH(F843, ""(?:.*,\s*)?([^,]+),\s*([^,]+),\s*Philippines.*""), TRIM(REGEXREPLACE(REGEXREPLACE(F843, ""(?:.*,\s*)?([^,]+),\s*([^,]+),\s*Philippines.*"", ""$1, $2""), ""\d+"", """")), """")"),"Maragondon, Cavite")</f>
        <v>Maragondon, Cavite</v>
      </c>
    </row>
    <row r="844">
      <c r="A844" s="1" t="s">
        <v>2412</v>
      </c>
      <c r="B844" s="1" t="s">
        <v>2413</v>
      </c>
      <c r="C844" s="1" t="s">
        <v>9</v>
      </c>
      <c r="D844" s="1">
        <v>14.241996</v>
      </c>
      <c r="E844" s="1">
        <v>121.131904</v>
      </c>
      <c r="F844" s="1" t="s">
        <v>2414</v>
      </c>
      <c r="G844" s="3" t="str">
        <f>IFERROR(__xludf.DUMMYFUNCTION("IF(REGEXMATCH(F844, ""(?:.*,\s*)?([^,]+),\s*([^,]+),\s*Philippines.*""), TRIM(REGEXREPLACE(REGEXREPLACE(F844, ""(?:.*,\s*)?([^,]+),\s*([^,]+),\s*Philippines.*"", ""$1, $2""), ""\d+"", """")), """")"),"Cabuyao City, Laguna")</f>
        <v>Cabuyao City, Laguna</v>
      </c>
    </row>
    <row r="845">
      <c r="A845" s="1" t="s">
        <v>2415</v>
      </c>
      <c r="B845" s="1" t="s">
        <v>2416</v>
      </c>
      <c r="C845" s="1" t="s">
        <v>9</v>
      </c>
      <c r="D845" s="1">
        <v>14.2052349</v>
      </c>
      <c r="E845" s="1">
        <v>121.1564411</v>
      </c>
      <c r="F845" s="1" t="s">
        <v>2417</v>
      </c>
      <c r="G845" s="3" t="str">
        <f>IFERROR(__xludf.DUMMYFUNCTION("IF(REGEXMATCH(F845, ""(?:.*,\s*)?([^,]+),\s*([^,]+),\s*Philippines.*""), TRIM(REGEXREPLACE(REGEXREPLACE(F845, ""(?:.*,\s*)?([^,]+),\s*([^,]+),\s*Philippines.*"", ""$1, $2""), ""\d+"", """")), """")"),"Calamba, Laguna")</f>
        <v>Calamba, Laguna</v>
      </c>
    </row>
    <row r="846">
      <c r="A846" s="1" t="s">
        <v>2418</v>
      </c>
      <c r="B846" s="1" t="s">
        <v>2419</v>
      </c>
      <c r="C846" s="1" t="s">
        <v>9</v>
      </c>
      <c r="D846" s="1">
        <v>13.9347282</v>
      </c>
      <c r="E846" s="1">
        <v>121.6124458</v>
      </c>
      <c r="F846" s="1" t="s">
        <v>2420</v>
      </c>
      <c r="G846" s="3" t="str">
        <f>IFERROR(__xludf.DUMMYFUNCTION("IF(REGEXMATCH(F846, ""(?:.*,\s*)?([^,]+),\s*([^,]+),\s*Philippines.*""), TRIM(REGEXREPLACE(REGEXREPLACE(F846, ""(?:.*,\s*)?([^,]+),\s*([^,]+),\s*Philippines.*"", ""$1, $2""), ""\d+"", """")), """")"),"Lucena City, Quezon")</f>
        <v>Lucena City, Quezon</v>
      </c>
    </row>
    <row r="847">
      <c r="A847" s="1" t="s">
        <v>2421</v>
      </c>
      <c r="B847" s="1" t="s">
        <v>2422</v>
      </c>
      <c r="C847" s="1" t="s">
        <v>13</v>
      </c>
      <c r="D847" s="1">
        <v>13.9337522</v>
      </c>
      <c r="E847" s="1">
        <v>121.6054368</v>
      </c>
      <c r="F847" s="1" t="s">
        <v>2423</v>
      </c>
      <c r="G847" s="3" t="str">
        <f>IFERROR(__xludf.DUMMYFUNCTION("IF(REGEXMATCH(F847, ""(?:.*,\s*)?([^,]+),\s*([^,]+),\s*Philippines.*""), TRIM(REGEXREPLACE(REGEXREPLACE(F847, ""(?:.*,\s*)?([^,]+),\s*([^,]+),\s*Philippines.*"", ""$1, $2""), ""\d+"", """")), """")"),"Lucena City, Quezon")</f>
        <v>Lucena City, Quezon</v>
      </c>
    </row>
    <row r="848">
      <c r="A848" s="1" t="s">
        <v>2424</v>
      </c>
      <c r="B848" s="1" t="s">
        <v>2425</v>
      </c>
      <c r="C848" s="1" t="s">
        <v>13</v>
      </c>
      <c r="D848" s="1">
        <v>13.9619186</v>
      </c>
      <c r="E848" s="1">
        <v>121.5689717</v>
      </c>
      <c r="F848" s="1" t="s">
        <v>2426</v>
      </c>
      <c r="G848" s="3" t="str">
        <f>IFERROR(__xludf.DUMMYFUNCTION("IF(REGEXMATCH(F848, ""(?:.*,\s*)?([^,]+),\s*([^,]+),\s*Philippines.*""), TRIM(REGEXREPLACE(REGEXREPLACE(F848, ""(?:.*,\s*)?([^,]+),\s*([^,]+),\s*Philippines.*"", ""$1, $2""), ""\d+"", """")), """")"),"City of Tayabas, Quezon")</f>
        <v>City of Tayabas, Quezon</v>
      </c>
    </row>
    <row r="849">
      <c r="A849" s="1" t="s">
        <v>2427</v>
      </c>
      <c r="B849" s="1" t="s">
        <v>2428</v>
      </c>
      <c r="C849" s="1" t="s">
        <v>13</v>
      </c>
      <c r="D849" s="1">
        <v>13.9987835</v>
      </c>
      <c r="E849" s="1">
        <v>121.9234693</v>
      </c>
      <c r="F849" s="1" t="s">
        <v>2429</v>
      </c>
      <c r="G849" s="3" t="str">
        <f>IFERROR(__xludf.DUMMYFUNCTION("IF(REGEXMATCH(F849, ""(?:.*,\s*)?([^,]+),\s*([^,]+),\s*Philippines.*""), TRIM(REGEXREPLACE(REGEXREPLACE(F849, ""(?:.*,\s*)?([^,]+),\s*([^,]+),\s*Philippines.*"", ""$1, $2""), ""\d+"", """")), """")"),"Atimonan, Quezon")</f>
        <v>Atimonan, Quezon</v>
      </c>
    </row>
    <row r="850">
      <c r="A850" s="1" t="s">
        <v>2430</v>
      </c>
      <c r="B850" s="1" t="s">
        <v>2431</v>
      </c>
      <c r="C850" s="1" t="s">
        <v>13</v>
      </c>
      <c r="D850" s="1">
        <v>14.4379327</v>
      </c>
      <c r="E850" s="1">
        <v>121.3484448</v>
      </c>
      <c r="F850" s="1" t="s">
        <v>2432</v>
      </c>
      <c r="G850" s="3" t="str">
        <f>IFERROR(__xludf.DUMMYFUNCTION("IF(REGEXMATCH(F850, ""(?:.*,\s*)?([^,]+),\s*([^,]+),\s*Philippines.*""), TRIM(REGEXREPLACE(REGEXREPLACE(F850, ""(?:.*,\s*)?([^,]+),\s*([^,]+),\s*Philippines.*"", ""$1, $2""), ""\d+"", """")), """")"),"Pililla, Rizal")</f>
        <v>Pililla, Rizal</v>
      </c>
    </row>
    <row r="851">
      <c r="A851" s="1" t="s">
        <v>2433</v>
      </c>
      <c r="B851" s="1" t="s">
        <v>2434</v>
      </c>
      <c r="C851" s="1" t="s">
        <v>13</v>
      </c>
      <c r="D851" s="1">
        <v>13.8763839</v>
      </c>
      <c r="E851" s="1">
        <v>120.9141892</v>
      </c>
      <c r="F851" s="1" t="s">
        <v>2435</v>
      </c>
      <c r="G851" s="3" t="str">
        <f>IFERROR(__xludf.DUMMYFUNCTION("IF(REGEXMATCH(F851, ""(?:.*,\s*)?([^,]+),\s*([^,]+),\s*Philippines.*""), TRIM(REGEXREPLACE(REGEXREPLACE(F851, ""(?:.*,\s*)?([^,]+),\s*([^,]+),\s*Philippines.*"", ""$1, $2""), ""\d+"", """")), """")"),"Lemery, Batangas")</f>
        <v>Lemery, Batangas</v>
      </c>
    </row>
    <row r="852">
      <c r="A852" s="1" t="s">
        <v>2436</v>
      </c>
      <c r="B852" s="1" t="s">
        <v>2437</v>
      </c>
      <c r="C852" s="1" t="s">
        <v>9</v>
      </c>
      <c r="D852" s="1">
        <v>14.5276372</v>
      </c>
      <c r="E852" s="1">
        <v>121.1592137</v>
      </c>
      <c r="F852" s="1" t="s">
        <v>2438</v>
      </c>
      <c r="G852" s="3" t="str">
        <f>IFERROR(__xludf.DUMMYFUNCTION("IF(REGEXMATCH(F852, ""(?:.*,\s*)?([^,]+),\s*([^,]+),\s*Philippines.*""), TRIM(REGEXREPLACE(REGEXREPLACE(F852, ""(?:.*,\s*)?([^,]+),\s*([^,]+),\s*Philippines.*"", ""$1, $2""), ""\d+"", """")), """")"),"Angono, Lalawigan ng Rizal")</f>
        <v>Angono, Lalawigan ng Rizal</v>
      </c>
    </row>
    <row r="853">
      <c r="A853" s="1" t="s">
        <v>2439</v>
      </c>
      <c r="B853" s="1" t="s">
        <v>2440</v>
      </c>
      <c r="C853" s="1" t="s">
        <v>13</v>
      </c>
      <c r="D853" s="1">
        <v>12.7424313</v>
      </c>
      <c r="E853" s="1">
        <v>123.8801952</v>
      </c>
      <c r="F853" s="1" t="s">
        <v>2441</v>
      </c>
      <c r="G853" s="3" t="str">
        <f>IFERROR(__xludf.DUMMYFUNCTION("IF(REGEXMATCH(F853, ""(?:.*,\s*)?([^,]+),\s*([^,]+),\s*Philippines.*""), TRIM(REGEXREPLACE(REGEXREPLACE(F853, ""(?:.*,\s*)?([^,]+),\s*([^,]+),\s*Philippines.*"", ""$1, $2""), ""\d+"", """")), """")"),"Bulan, Sorsogon")</f>
        <v>Bulan, Sorsogon</v>
      </c>
    </row>
    <row r="854">
      <c r="A854" s="1" t="s">
        <v>2442</v>
      </c>
      <c r="B854" s="1" t="s">
        <v>2443</v>
      </c>
      <c r="C854" s="1" t="s">
        <v>9</v>
      </c>
      <c r="D854" s="1">
        <v>14.2252478</v>
      </c>
      <c r="E854" s="1">
        <v>121.1402702</v>
      </c>
      <c r="F854" s="1" t="s">
        <v>2444</v>
      </c>
      <c r="G854" s="3" t="str">
        <f>IFERROR(__xludf.DUMMYFUNCTION("IF(REGEXMATCH(F854, ""(?:.*,\s*)?([^,]+),\s*([^,]+),\s*Philippines.*""), TRIM(REGEXREPLACE(REGEXREPLACE(F854, ""(?:.*,\s*)?([^,]+),\s*([^,]+),\s*Philippines.*"", ""$1, $2""), ""\d+"", """")), """")"),"Calamba, Laguna")</f>
        <v>Calamba, Laguna</v>
      </c>
    </row>
    <row r="855">
      <c r="A855" s="1" t="s">
        <v>2445</v>
      </c>
      <c r="B855" s="1" t="s">
        <v>2446</v>
      </c>
      <c r="C855" s="1" t="s">
        <v>9</v>
      </c>
      <c r="D855" s="1">
        <v>14.2252478</v>
      </c>
      <c r="E855" s="1">
        <v>121.1402702</v>
      </c>
      <c r="F855" s="1" t="s">
        <v>2444</v>
      </c>
      <c r="G855" s="3" t="str">
        <f>IFERROR(__xludf.DUMMYFUNCTION("IF(REGEXMATCH(F855, ""(?:.*,\s*)?([^,]+),\s*([^,]+),\s*Philippines.*""), TRIM(REGEXREPLACE(REGEXREPLACE(F855, ""(?:.*,\s*)?([^,]+),\s*([^,]+),\s*Philippines.*"", ""$1, $2""), ""\d+"", """")), """")"),"Calamba, Laguna")</f>
        <v>Calamba, Laguna</v>
      </c>
    </row>
    <row r="856">
      <c r="A856" s="1" t="s">
        <v>2447</v>
      </c>
      <c r="B856" s="1" t="s">
        <v>2448</v>
      </c>
      <c r="C856" s="1" t="s">
        <v>13</v>
      </c>
      <c r="D856" s="1">
        <v>14.5391488</v>
      </c>
      <c r="E856" s="1">
        <v>121.1540458</v>
      </c>
      <c r="F856" s="1" t="s">
        <v>2449</v>
      </c>
      <c r="G856" s="3" t="str">
        <f>IFERROR(__xludf.DUMMYFUNCTION("IF(REGEXMATCH(F856, ""(?:.*,\s*)?([^,]+),\s*([^,]+),\s*Philippines.*""), TRIM(REGEXREPLACE(REGEXREPLACE(F856, ""(?:.*,\s*)?([^,]+),\s*([^,]+),\s*Philippines.*"", ""$1, $2""), ""\d+"", """")), """")"),"Angono, Rizal")</f>
        <v>Angono, Rizal</v>
      </c>
    </row>
    <row r="857">
      <c r="A857" s="1" t="s">
        <v>2450</v>
      </c>
      <c r="B857" s="1" t="s">
        <v>2451</v>
      </c>
      <c r="C857" s="1" t="s">
        <v>13</v>
      </c>
      <c r="D857" s="1">
        <v>13.2895726</v>
      </c>
      <c r="E857" s="1">
        <v>122.5287884</v>
      </c>
      <c r="F857" s="1" t="s">
        <v>2452</v>
      </c>
      <c r="G857" s="3" t="str">
        <f>IFERROR(__xludf.DUMMYFUNCTION("IF(REGEXMATCH(F857, ""(?:.*,\s*)?([^,]+),\s*([^,]+),\s*Philippines.*""), TRIM(REGEXREPLACE(REGEXREPLACE(F857, ""(?:.*,\s*)?([^,]+),\s*([^,]+),\s*Philippines.*"", ""$1, $2""), ""\d+"", """")), """")"),"San Francisco (Aurora), Quezon")</f>
        <v>San Francisco (Aurora), Quezon</v>
      </c>
    </row>
    <row r="858">
      <c r="A858" s="1" t="s">
        <v>2453</v>
      </c>
      <c r="B858" s="1" t="s">
        <v>2454</v>
      </c>
      <c r="C858" s="1" t="s">
        <v>13</v>
      </c>
      <c r="D858" s="1">
        <v>13.9431655</v>
      </c>
      <c r="E858" s="1">
        <v>121.1087872</v>
      </c>
      <c r="F858" s="1" t="s">
        <v>2455</v>
      </c>
      <c r="G858" s="3" t="str">
        <f>IFERROR(__xludf.DUMMYFUNCTION("IF(REGEXMATCH(F858, ""(?:.*,\s*)?([^,]+),\s*([^,]+),\s*Philippines.*""), TRIM(REGEXREPLACE(REGEXREPLACE(F858, ""(?:.*,\s*)?([^,]+),\s*([^,]+),\s*Philippines.*"", ""$1, $2""), ""\d+"", """")), """")"),"Lipa City, Batangas")</f>
        <v>Lipa City, Batangas</v>
      </c>
    </row>
    <row r="859">
      <c r="A859" s="1" t="s">
        <v>2456</v>
      </c>
      <c r="B859" s="1" t="s">
        <v>2457</v>
      </c>
      <c r="C859" s="1" t="s">
        <v>13</v>
      </c>
      <c r="D859" s="1">
        <v>14.1406629</v>
      </c>
      <c r="E859" s="1">
        <v>121.4691774</v>
      </c>
      <c r="F859" s="1" t="s">
        <v>1824</v>
      </c>
      <c r="G859" s="3" t="str">
        <f>IFERROR(__xludf.DUMMYFUNCTION("IF(REGEXMATCH(F859, ""(?:.*,\s*)?([^,]+),\s*([^,]+),\s*Philippines.*""), TRIM(REGEXREPLACE(REGEXREPLACE(F859, ""(?:.*,\s*)?([^,]+),\s*([^,]+),\s*Philippines.*"", ""$1, $2""), ""\d+"", """")), """")"),"")</f>
        <v/>
      </c>
    </row>
    <row r="860">
      <c r="A860" s="1" t="s">
        <v>2458</v>
      </c>
      <c r="B860" s="1" t="s">
        <v>2459</v>
      </c>
      <c r="C860" s="1" t="s">
        <v>13</v>
      </c>
      <c r="D860" s="1">
        <v>13.8815423</v>
      </c>
      <c r="E860" s="1">
        <v>120.9242526</v>
      </c>
      <c r="F860" s="1" t="s">
        <v>2460</v>
      </c>
      <c r="G860" s="3" t="str">
        <f>IFERROR(__xludf.DUMMYFUNCTION("IF(REGEXMATCH(F860, ""(?:.*,\s*)?([^,]+),\s*([^,]+),\s*Philippines.*""), TRIM(REGEXREPLACE(REGEXREPLACE(F860, ""(?:.*,\s*)?([^,]+),\s*([^,]+),\s*Philippines.*"", ""$1, $2""), ""\d+"", """")), """")"),"Taal, Batangas")</f>
        <v>Taal, Batangas</v>
      </c>
    </row>
    <row r="861">
      <c r="A861" s="1" t="s">
        <v>2461</v>
      </c>
      <c r="B861" s="1" t="s">
        <v>491</v>
      </c>
      <c r="C861" s="1" t="s">
        <v>13</v>
      </c>
      <c r="D861" s="1">
        <v>14.534888</v>
      </c>
      <c r="E861" s="1">
        <v>121.360098</v>
      </c>
      <c r="F861" s="1" t="s">
        <v>2462</v>
      </c>
      <c r="G861" s="3" t="str">
        <f>IFERROR(__xludf.DUMMYFUNCTION("IF(REGEXMATCH(F861, ""(?:.*,\s*)?([^,]+),\s*([^,]+),\s*Philippines.*""), TRIM(REGEXREPLACE(REGEXREPLACE(F861, ""(?:.*,\s*)?([^,]+),\s*([^,]+),\s*Philippines.*"", ""$1, $2""), ""\d+"", """")), """")"),"Tanay, Rizal")</f>
        <v>Tanay, Rizal</v>
      </c>
    </row>
    <row r="862">
      <c r="A862" s="1" t="s">
        <v>2463</v>
      </c>
      <c r="B862" s="1" t="s">
        <v>2464</v>
      </c>
      <c r="C862" s="1" t="s">
        <v>13</v>
      </c>
      <c r="D862" s="1">
        <v>12.879721</v>
      </c>
      <c r="E862" s="1">
        <v>121.774017</v>
      </c>
      <c r="F862" s="1" t="s">
        <v>47</v>
      </c>
      <c r="G862" s="3" t="str">
        <f>IFERROR(__xludf.DUMMYFUNCTION("IF(REGEXMATCH(F862, ""(?:.*,\s*)?([^,]+),\s*([^,]+),\s*Philippines.*""), TRIM(REGEXREPLACE(REGEXREPLACE(F862, ""(?:.*,\s*)?([^,]+),\s*([^,]+),\s*Philippines.*"", ""$1, $2""), ""\d+"", """")), """")"),"")</f>
        <v/>
      </c>
    </row>
    <row r="863">
      <c r="A863" s="1" t="s">
        <v>2465</v>
      </c>
      <c r="B863" s="1" t="s">
        <v>2466</v>
      </c>
      <c r="C863" s="1" t="s">
        <v>9</v>
      </c>
      <c r="D863" s="1">
        <v>14.497971</v>
      </c>
      <c r="E863" s="1">
        <v>121.285737</v>
      </c>
      <c r="F863" s="1" t="s">
        <v>2467</v>
      </c>
      <c r="G863" s="3" t="str">
        <f>IFERROR(__xludf.DUMMYFUNCTION("IF(REGEXMATCH(F863, ""(?:.*,\s*)?([^,]+),\s*([^,]+),\s*Philippines.*""), TRIM(REGEXREPLACE(REGEXREPLACE(F863, ""(?:.*,\s*)?([^,]+),\s*([^,]+),\s*Philippines.*"", ""$1, $2""), ""\d+"", """")), """")"),"Tanay, Rizal")</f>
        <v>Tanay, Rizal</v>
      </c>
    </row>
    <row r="864">
      <c r="A864" s="1" t="s">
        <v>2468</v>
      </c>
      <c r="B864" s="1" t="s">
        <v>2469</v>
      </c>
      <c r="C864" s="1" t="s">
        <v>13</v>
      </c>
      <c r="D864" s="1">
        <v>14.4725075</v>
      </c>
      <c r="E864" s="1">
        <v>121.1970145</v>
      </c>
      <c r="F864" s="1" t="s">
        <v>2470</v>
      </c>
      <c r="G864" s="3" t="str">
        <f>IFERROR(__xludf.DUMMYFUNCTION("IF(REGEXMATCH(F864, ""(?:.*,\s*)?([^,]+),\s*([^,]+),\s*Philippines.*""), TRIM(REGEXREPLACE(REGEXREPLACE(F864, ""(?:.*,\s*)?([^,]+),\s*([^,]+),\s*Philippines.*"", ""$1, $2""), ""\d+"", """")), """")"),"Binangonan, Rizal")</f>
        <v>Binangonan, Rizal</v>
      </c>
    </row>
    <row r="865">
      <c r="A865" s="1" t="s">
        <v>2471</v>
      </c>
      <c r="B865" s="1" t="s">
        <v>2472</v>
      </c>
      <c r="C865" s="1" t="s">
        <v>9</v>
      </c>
      <c r="D865" s="1">
        <v>14.5309968</v>
      </c>
      <c r="E865" s="1">
        <v>121.1622984</v>
      </c>
      <c r="F865" s="1" t="s">
        <v>2473</v>
      </c>
      <c r="G865" s="3" t="str">
        <f>IFERROR(__xludf.DUMMYFUNCTION("IF(REGEXMATCH(F865, ""(?:.*,\s*)?([^,]+),\s*([^,]+),\s*Philippines.*""), TRIM(REGEXREPLACE(REGEXREPLACE(F865, ""(?:.*,\s*)?([^,]+),\s*([^,]+),\s*Philippines.*"", ""$1, $2""), ""\d+"", """")), """")"),"Angono, Rizal")</f>
        <v>Angono, Rizal</v>
      </c>
    </row>
    <row r="866">
      <c r="A866" s="1" t="s">
        <v>2474</v>
      </c>
      <c r="B866" s="1" t="s">
        <v>2475</v>
      </c>
      <c r="C866" s="1" t="s">
        <v>766</v>
      </c>
      <c r="D866" s="1">
        <v>14.1358394</v>
      </c>
      <c r="E866" s="1">
        <v>121.4153956</v>
      </c>
      <c r="F866" s="1" t="s">
        <v>2476</v>
      </c>
      <c r="G866" s="3" t="str">
        <f>IFERROR(__xludf.DUMMYFUNCTION("IF(REGEXMATCH(F866, ""(?:.*,\s*)?([^,]+),\s*([^,]+),\s*Philippines.*""), TRIM(REGEXREPLACE(REGEXREPLACE(F866, ""(?:.*,\s*)?([^,]+),\s*([^,]+),\s*Philippines.*"", ""$1, $2""), ""\d+"", """")), """")"),"Nagcarlan, Laguna")</f>
        <v>Nagcarlan, Laguna</v>
      </c>
    </row>
    <row r="867">
      <c r="A867" s="1" t="s">
        <v>2477</v>
      </c>
      <c r="B867" s="1" t="s">
        <v>2478</v>
      </c>
      <c r="C867" s="1" t="s">
        <v>13</v>
      </c>
      <c r="D867" s="1">
        <v>12.879721</v>
      </c>
      <c r="E867" s="1">
        <v>121.774017</v>
      </c>
      <c r="F867" s="1" t="s">
        <v>47</v>
      </c>
      <c r="G867" s="3" t="str">
        <f>IFERROR(__xludf.DUMMYFUNCTION("IF(REGEXMATCH(F867, ""(?:.*,\s*)?([^,]+),\s*([^,]+),\s*Philippines.*""), TRIM(REGEXREPLACE(REGEXREPLACE(F867, ""(?:.*,\s*)?([^,]+),\s*([^,]+),\s*Philippines.*"", ""$1, $2""), ""\d+"", """")), """")"),"")</f>
        <v/>
      </c>
    </row>
    <row r="868">
      <c r="A868" s="1" t="s">
        <v>2479</v>
      </c>
      <c r="B868" s="1" t="s">
        <v>2480</v>
      </c>
      <c r="C868" s="1" t="s">
        <v>9</v>
      </c>
      <c r="D868" s="1">
        <v>13.9575229</v>
      </c>
      <c r="E868" s="1">
        <v>122.2928366</v>
      </c>
      <c r="F868" s="1" t="s">
        <v>2481</v>
      </c>
      <c r="G868" s="3" t="str">
        <f>IFERROR(__xludf.DUMMYFUNCTION("IF(REGEXMATCH(F868, ""(?:.*,\s*)?([^,]+),\s*([^,]+),\s*Philippines.*""), TRIM(REGEXREPLACE(REGEXREPLACE(F868, ""(?:.*,\s*)?([^,]+),\s*([^,]+),\s*Philippines.*"", ""$1, $2""), ""\d+"", """")), """")"),"Romblon, Quezon")</f>
        <v>Romblon, Quezon</v>
      </c>
    </row>
    <row r="869">
      <c r="A869" s="1" t="s">
        <v>2482</v>
      </c>
      <c r="B869" s="1" t="s">
        <v>2483</v>
      </c>
      <c r="C869" s="1" t="s">
        <v>13</v>
      </c>
      <c r="D869" s="1">
        <v>14.1490981</v>
      </c>
      <c r="E869" s="1">
        <v>120.9559694</v>
      </c>
      <c r="F869" s="1" t="s">
        <v>2484</v>
      </c>
      <c r="G869" s="3" t="str">
        <f>IFERROR(__xludf.DUMMYFUNCTION("IF(REGEXMATCH(F869, ""(?:.*,\s*)?([^,]+),\s*([^,]+),\s*Philippines.*""), TRIM(REGEXREPLACE(REGEXREPLACE(F869, ""(?:.*,\s*)?([^,]+),\s*([^,]+),\s*Philippines.*"", ""$1, $2""), ""\d+"", """")), """")"),"Silang, Cavite")</f>
        <v>Silang, Cavite</v>
      </c>
    </row>
    <row r="870">
      <c r="A870" s="1" t="s">
        <v>2485</v>
      </c>
      <c r="B870" s="1" t="s">
        <v>2486</v>
      </c>
      <c r="C870" s="1" t="s">
        <v>13</v>
      </c>
      <c r="D870" s="1">
        <v>13.8534215</v>
      </c>
      <c r="E870" s="1">
        <v>121.2011022</v>
      </c>
      <c r="F870" s="1" t="s">
        <v>2487</v>
      </c>
      <c r="G870" s="3" t="str">
        <f>IFERROR(__xludf.DUMMYFUNCTION("IF(REGEXMATCH(F870, ""(?:.*,\s*)?([^,]+),\s*([^,]+),\s*Philippines.*""), TRIM(REGEXREPLACE(REGEXREPLACE(F870, ""(?:.*,\s*)?([^,]+),\s*([^,]+),\s*Philippines.*"", ""$1, $2""), ""\d+"", """")), """")"),"Rosario, Batangas")</f>
        <v>Rosario, Batangas</v>
      </c>
    </row>
    <row r="871">
      <c r="A871" s="1" t="s">
        <v>2488</v>
      </c>
      <c r="B871" s="1" t="s">
        <v>2489</v>
      </c>
      <c r="C871" s="1" t="s">
        <v>13</v>
      </c>
      <c r="D871" s="1">
        <v>14.6680939</v>
      </c>
      <c r="E871" s="1">
        <v>121.109457</v>
      </c>
      <c r="F871" s="1" t="s">
        <v>2490</v>
      </c>
      <c r="G871" s="3" t="str">
        <f>IFERROR(__xludf.DUMMYFUNCTION("IF(REGEXMATCH(F871, ""(?:.*,\s*)?([^,]+),\s*([^,]+),\s*Philippines.*""), TRIM(REGEXREPLACE(REGEXREPLACE(F871, ""(?:.*,\s*)?([^,]+),\s*([^,]+),\s*Philippines.*"", ""$1, $2""), ""\d+"", """")), """")"),"Marikina, Metro Manila")</f>
        <v>Marikina, Metro Manila</v>
      </c>
    </row>
    <row r="872">
      <c r="A872" s="1" t="s">
        <v>2491</v>
      </c>
      <c r="B872" s="1" t="s">
        <v>2492</v>
      </c>
      <c r="C872" s="1" t="s">
        <v>9</v>
      </c>
      <c r="D872" s="1">
        <v>13.9621588</v>
      </c>
      <c r="E872" s="1">
        <v>121.170729</v>
      </c>
      <c r="F872" s="1" t="s">
        <v>2493</v>
      </c>
      <c r="G872" s="3" t="str">
        <f>IFERROR(__xludf.DUMMYFUNCTION("IF(REGEXMATCH(F872, ""(?:.*,\s*)?([^,]+),\s*([^,]+),\s*Philippines.*""), TRIM(REGEXREPLACE(REGEXREPLACE(F872, ""(?:.*,\s*)?([^,]+),\s*([^,]+),\s*Philippines.*"", ""$1, $2""), ""\d+"", """")), """")"),"Lipa City, Batangas")</f>
        <v>Lipa City, Batangas</v>
      </c>
    </row>
    <row r="873">
      <c r="A873" s="1" t="s">
        <v>2494</v>
      </c>
      <c r="B873" s="1" t="s">
        <v>2495</v>
      </c>
      <c r="C873" s="1" t="s">
        <v>9</v>
      </c>
      <c r="D873" s="1">
        <v>14.2723572</v>
      </c>
      <c r="E873" s="1">
        <v>120.9994617</v>
      </c>
      <c r="F873" s="1" t="s">
        <v>2496</v>
      </c>
      <c r="G873" s="3" t="str">
        <f>IFERROR(__xludf.DUMMYFUNCTION("IF(REGEXMATCH(F873, ""(?:.*,\s*)?([^,]+),\s*([^,]+),\s*Philippines.*""), TRIM(REGEXREPLACE(REGEXREPLACE(F873, ""(?:.*,\s*)?([^,]+),\s*([^,]+),\s*Philippines.*"", ""$1, $2""), ""\d+"", """")), """")"),"Silang, Cavite")</f>
        <v>Silang, Cavite</v>
      </c>
    </row>
    <row r="874">
      <c r="A874" s="1" t="s">
        <v>2497</v>
      </c>
      <c r="B874" s="1" t="s">
        <v>2498</v>
      </c>
      <c r="C874" s="1" t="s">
        <v>13</v>
      </c>
      <c r="D874" s="1">
        <v>14.0588196</v>
      </c>
      <c r="E874" s="1">
        <v>121.5683962</v>
      </c>
      <c r="F874" s="1" t="s">
        <v>2499</v>
      </c>
      <c r="G874" s="3" t="str">
        <f>IFERROR(__xludf.DUMMYFUNCTION("IF(REGEXMATCH(F874, ""(?:.*,\s*)?([^,]+),\s*([^,]+),\s*Philippines.*""), TRIM(REGEXREPLACE(REGEXREPLACE(F874, ""(?:.*,\s*)?([^,]+),\s*([^,]+),\s*Philippines.*"", ""$1, $2""), ""\d+"", """")), """")"),"City of Tayabas, Quezon")</f>
        <v>City of Tayabas, Quezon</v>
      </c>
    </row>
    <row r="875">
      <c r="A875" s="1" t="s">
        <v>2500</v>
      </c>
      <c r="B875" s="1" t="s">
        <v>2501</v>
      </c>
      <c r="C875" s="1" t="s">
        <v>13</v>
      </c>
      <c r="D875" s="1">
        <v>14.449116</v>
      </c>
      <c r="E875" s="1">
        <v>120.935529</v>
      </c>
      <c r="F875" s="1" t="s">
        <v>2502</v>
      </c>
      <c r="G875" s="3" t="str">
        <f>IFERROR(__xludf.DUMMYFUNCTION("IF(REGEXMATCH(F875, ""(?:.*,\s*)?([^,]+),\s*([^,]+),\s*Philippines.*""), TRIM(REGEXREPLACE(REGEXREPLACE(F875, ""(?:.*,\s*)?([^,]+),\s*([^,]+),\s*Philippines.*"", ""$1, $2""), ""\d+"", """")), """")"),"Bacoor, Cavite")</f>
        <v>Bacoor, Cavite</v>
      </c>
    </row>
    <row r="876">
      <c r="A876" s="1" t="s">
        <v>2503</v>
      </c>
      <c r="B876" s="1" t="s">
        <v>2504</v>
      </c>
      <c r="C876" s="1" t="s">
        <v>9</v>
      </c>
      <c r="D876" s="1">
        <v>14.6973202</v>
      </c>
      <c r="E876" s="1">
        <v>121.1211211</v>
      </c>
      <c r="F876" s="1" t="s">
        <v>2505</v>
      </c>
      <c r="G876" s="3" t="str">
        <f>IFERROR(__xludf.DUMMYFUNCTION("IF(REGEXMATCH(F876, ""(?:.*,\s*)?([^,]+),\s*([^,]+),\s*Philippines.*""), TRIM(REGEXREPLACE(REGEXREPLACE(F876, ""(?:.*,\s*)?([^,]+),\s*([^,]+),\s*Philippines.*"", ""$1, $2""), ""\d+"", """")), """")"),"Gen. Luna Ave, Rizal")</f>
        <v>Gen. Luna Ave, Rizal</v>
      </c>
    </row>
    <row r="877">
      <c r="A877" s="1" t="s">
        <v>2506</v>
      </c>
      <c r="B877" s="1" t="s">
        <v>2507</v>
      </c>
      <c r="C877" s="1" t="s">
        <v>13</v>
      </c>
      <c r="D877" s="1">
        <v>13.7243739</v>
      </c>
      <c r="E877" s="1">
        <v>123.2093512</v>
      </c>
      <c r="F877" s="1" t="s">
        <v>2508</v>
      </c>
      <c r="G877" s="3" t="str">
        <f>IFERROR(__xludf.DUMMYFUNCTION("IF(REGEXMATCH(F877, ""(?:.*,\s*)?([^,]+),\s*([^,]+),\s*Philippines.*""), TRIM(REGEXREPLACE(REGEXREPLACE(F877, ""(?:.*,\s*)?([^,]+),\s*([^,]+),\s*Philippines.*"", ""$1, $2""), ""\d+"", """")), """")"),"Calabanga, Camarines Sur")</f>
        <v>Calabanga, Camarines Sur</v>
      </c>
    </row>
    <row r="878">
      <c r="A878" s="1" t="s">
        <v>2509</v>
      </c>
      <c r="B878" s="1" t="s">
        <v>2510</v>
      </c>
      <c r="C878" s="1" t="s">
        <v>13</v>
      </c>
      <c r="D878" s="1">
        <v>10.5941275</v>
      </c>
      <c r="E878" s="1">
        <v>122.1447998</v>
      </c>
      <c r="F878" s="1" t="s">
        <v>2511</v>
      </c>
      <c r="G878" s="3" t="str">
        <f>IFERROR(__xludf.DUMMYFUNCTION("IF(REGEXMATCH(F878, ""(?:.*,\s*)?([^,]+),\s*([^,]+),\s*Philippines.*""), TRIM(REGEXREPLACE(REGEXREPLACE(F878, ""(?:.*,\s*)?([^,]+),\s*([^,]+),\s*Philippines.*"", ""$1, $2""), ""\d+"", """")), """")"),"San Joaquin, Iloilo")</f>
        <v>San Joaquin, Iloilo</v>
      </c>
    </row>
    <row r="879">
      <c r="A879" s="1" t="s">
        <v>2512</v>
      </c>
      <c r="B879" s="1" t="s">
        <v>2513</v>
      </c>
      <c r="C879" s="1" t="s">
        <v>9</v>
      </c>
      <c r="D879" s="1">
        <v>14.4015556</v>
      </c>
      <c r="E879" s="1">
        <v>120.8563564</v>
      </c>
      <c r="F879" s="1" t="s">
        <v>2514</v>
      </c>
      <c r="G879" s="3" t="str">
        <f>IFERROR(__xludf.DUMMYFUNCTION("IF(REGEXMATCH(F879, ""(?:.*,\s*)?([^,]+),\s*([^,]+),\s*Philippines.*""), TRIM(REGEXREPLACE(REGEXREPLACE(F879, ""(?:.*,\s*)?([^,]+),\s*([^,]+),\s*Philippines.*"", ""$1, $2""), ""\d+"", """")), """")"),"Tanza, Cavite")</f>
        <v>Tanza, Cavite</v>
      </c>
    </row>
    <row r="880">
      <c r="A880" s="1" t="s">
        <v>2515</v>
      </c>
      <c r="B880" s="1" t="s">
        <v>2516</v>
      </c>
      <c r="C880" s="1" t="s">
        <v>9</v>
      </c>
      <c r="D880" s="1">
        <v>14.2079666</v>
      </c>
      <c r="E880" s="1">
        <v>121.1541474</v>
      </c>
      <c r="F880" s="1" t="s">
        <v>2517</v>
      </c>
      <c r="G880" s="3" t="str">
        <f>IFERROR(__xludf.DUMMYFUNCTION("IF(REGEXMATCH(F880, ""(?:.*,\s*)?([^,]+),\s*([^,]+),\s*Philippines.*""), TRIM(REGEXREPLACE(REGEXREPLACE(F880, ""(?:.*,\s*)?([^,]+),\s*([^,]+),\s*Philippines.*"", ""$1, $2""), ""\d+"", """")), """")"),"Calamba, Laguna")</f>
        <v>Calamba, Laguna</v>
      </c>
    </row>
    <row r="881">
      <c r="A881" s="1" t="s">
        <v>2518</v>
      </c>
      <c r="B881" s="1" t="s">
        <v>2519</v>
      </c>
      <c r="C881" s="1" t="s">
        <v>13</v>
      </c>
      <c r="D881" s="1">
        <v>13.747176</v>
      </c>
      <c r="E881" s="1">
        <v>120.9409006</v>
      </c>
      <c r="F881" s="1" t="s">
        <v>2520</v>
      </c>
      <c r="G881" s="3" t="str">
        <f>IFERROR(__xludf.DUMMYFUNCTION("IF(REGEXMATCH(F881, ""(?:.*,\s*)?([^,]+),\s*([^,]+),\s*Philippines.*""), TRIM(REGEXREPLACE(REGEXREPLACE(F881, ""(?:.*,\s*)?([^,]+),\s*([^,]+),\s*Philippines.*"", ""$1, $2""), ""\d+"", """")), """")"),"Mabini, Batangas")</f>
        <v>Mabini, Batangas</v>
      </c>
    </row>
    <row r="882">
      <c r="A882" s="1" t="s">
        <v>2521</v>
      </c>
      <c r="B882" s="1" t="s">
        <v>2522</v>
      </c>
      <c r="C882" s="1" t="s">
        <v>13</v>
      </c>
      <c r="D882" s="1">
        <v>12.879721</v>
      </c>
      <c r="E882" s="1">
        <v>121.774017</v>
      </c>
      <c r="F882" s="1" t="s">
        <v>47</v>
      </c>
      <c r="G882" s="3" t="str">
        <f>IFERROR(__xludf.DUMMYFUNCTION("IF(REGEXMATCH(F882, ""(?:.*,\s*)?([^,]+),\s*([^,]+),\s*Philippines.*""), TRIM(REGEXREPLACE(REGEXREPLACE(F882, ""(?:.*,\s*)?([^,]+),\s*([^,]+),\s*Philippines.*"", ""$1, $2""), ""\d+"", """")), """")"),"")</f>
        <v/>
      </c>
    </row>
    <row r="883">
      <c r="A883" s="1" t="s">
        <v>2523</v>
      </c>
      <c r="B883" s="1" t="s">
        <v>2524</v>
      </c>
      <c r="C883" s="1" t="s">
        <v>9</v>
      </c>
      <c r="D883" s="1">
        <v>14.3611497</v>
      </c>
      <c r="E883" s="1">
        <v>121.0594505</v>
      </c>
      <c r="F883" s="1" t="s">
        <v>2525</v>
      </c>
      <c r="G883" s="3" t="str">
        <f>IFERROR(__xludf.DUMMYFUNCTION("IF(REGEXMATCH(F883, ""(?:.*,\s*)?([^,]+),\s*([^,]+),\s*Philippines.*""), TRIM(REGEXREPLACE(REGEXREPLACE(F883, ""(?:.*,\s*)?([^,]+),\s*([^,]+),\s*Philippines.*"", ""$1, $2""), ""\d+"", """")), """")"),"San Pedro, Laguna")</f>
        <v>San Pedro, Laguna</v>
      </c>
    </row>
    <row r="884">
      <c r="A884" s="1" t="s">
        <v>2526</v>
      </c>
      <c r="B884" s="1" t="s">
        <v>2527</v>
      </c>
      <c r="C884" s="1" t="s">
        <v>13</v>
      </c>
      <c r="D884" s="1">
        <v>14.490903</v>
      </c>
      <c r="E884" s="1">
        <v>121.0523576</v>
      </c>
      <c r="F884" s="1" t="s">
        <v>2528</v>
      </c>
      <c r="G884" s="3" t="str">
        <f>IFERROR(__xludf.DUMMYFUNCTION("IF(REGEXMATCH(F884, ""(?:.*,\s*)?([^,]+),\s*([^,]+),\s*Philippines.*""), TRIM(REGEXREPLACE(REGEXREPLACE(F884, ""(?:.*,\s*)?([^,]+),\s*([^,]+),\s*Philippines.*"", ""$1, $2""), ""\d+"", """")), """")"),"Taguig, Metro Manila")</f>
        <v>Taguig, Metro Manila</v>
      </c>
    </row>
    <row r="885">
      <c r="A885" s="1" t="s">
        <v>2529</v>
      </c>
      <c r="B885" s="1" t="s">
        <v>2530</v>
      </c>
      <c r="C885" s="1" t="s">
        <v>9</v>
      </c>
      <c r="D885" s="1">
        <v>14.3145578</v>
      </c>
      <c r="E885" s="1">
        <v>121.0831646</v>
      </c>
      <c r="F885" s="1" t="s">
        <v>2531</v>
      </c>
      <c r="G885" s="3" t="str">
        <f>IFERROR(__xludf.DUMMYFUNCTION("IF(REGEXMATCH(F885, ""(?:.*,\s*)?([^,]+),\s*([^,]+),\s*Philippines.*""), TRIM(REGEXREPLACE(REGEXREPLACE(F885, ""(?:.*,\s*)?([^,]+),\s*([^,]+),\s*Philippines.*"", ""$1, $2""), ""\d+"", """")), """")"),"Biñan, Laguna")</f>
        <v>Biñan, Laguna</v>
      </c>
    </row>
    <row r="886">
      <c r="A886" s="1" t="s">
        <v>2532</v>
      </c>
      <c r="B886" s="1" t="s">
        <v>2533</v>
      </c>
      <c r="C886" s="1" t="s">
        <v>9</v>
      </c>
      <c r="D886" s="1">
        <v>14.471981</v>
      </c>
      <c r="E886" s="1">
        <v>120.88776</v>
      </c>
      <c r="F886" s="1" t="s">
        <v>2534</v>
      </c>
      <c r="G886" s="3" t="str">
        <f>IFERROR(__xludf.DUMMYFUNCTION("IF(REGEXMATCH(F886, ""(?:.*,\s*)?([^,]+),\s*([^,]+),\s*Philippines.*""), TRIM(REGEXREPLACE(REGEXREPLACE(F886, ""(?:.*,\s*)?([^,]+),\s*([^,]+),\s*Philippines.*"", ""$1, $2""), ""\d+"", """")), """")"),"Cavite, Cavite")</f>
        <v>Cavite, Cavite</v>
      </c>
    </row>
    <row r="887">
      <c r="A887" s="1" t="s">
        <v>2535</v>
      </c>
      <c r="B887" s="1" t="s">
        <v>2536</v>
      </c>
      <c r="C887" s="1" t="s">
        <v>13</v>
      </c>
      <c r="D887" s="1">
        <v>14.598668</v>
      </c>
      <c r="E887" s="1">
        <v>121.192131</v>
      </c>
      <c r="F887" s="1" t="s">
        <v>2537</v>
      </c>
      <c r="G887" s="3" t="str">
        <f>IFERROR(__xludf.DUMMYFUNCTION("IF(REGEXMATCH(F887, ""(?:.*,\s*)?([^,]+),\s*([^,]+),\s*Philippines.*""), TRIM(REGEXREPLACE(REGEXREPLACE(F887, ""(?:.*,\s*)?([^,]+),\s*([^,]+),\s*Philippines.*"", ""$1, $2""), ""\d+"", """")), """")"),"Antipolo, Rizal")</f>
        <v>Antipolo, Rizal</v>
      </c>
    </row>
    <row r="888">
      <c r="A888" s="1" t="s">
        <v>2538</v>
      </c>
      <c r="B888" s="1" t="s">
        <v>2539</v>
      </c>
      <c r="C888" s="1" t="s">
        <v>13</v>
      </c>
      <c r="D888" s="1">
        <v>13.8785088</v>
      </c>
      <c r="E888" s="1">
        <v>121.1034848</v>
      </c>
      <c r="F888" s="1" t="s">
        <v>2540</v>
      </c>
      <c r="G888" s="3" t="str">
        <f>IFERROR(__xludf.DUMMYFUNCTION("IF(REGEXMATCH(F888, ""(?:.*,\s*)?([^,]+),\s*([^,]+),\s*Philippines.*""), TRIM(REGEXREPLACE(REGEXREPLACE(F888, ""(?:.*,\s*)?([^,]+),\s*([^,]+),\s*Philippines.*"", ""$1, $2""), ""\d+"", """")), """")"),"San Jose, Batangas")</f>
        <v>San Jose, Batangas</v>
      </c>
    </row>
    <row r="889">
      <c r="A889" s="1" t="s">
        <v>2541</v>
      </c>
      <c r="B889" s="1" t="s">
        <v>2542</v>
      </c>
      <c r="C889" s="1" t="s">
        <v>766</v>
      </c>
      <c r="D889" s="1">
        <v>14.6873617</v>
      </c>
      <c r="E889" s="1">
        <v>121.1172561</v>
      </c>
      <c r="F889" s="1" t="s">
        <v>2543</v>
      </c>
      <c r="G889" s="3" t="str">
        <f>IFERROR(__xludf.DUMMYFUNCTION("IF(REGEXMATCH(F889, ""(?:.*,\s*)?([^,]+),\s*([^,]+),\s*Philippines.*""), TRIM(REGEXREPLACE(REGEXREPLACE(F889, ""(?:.*,\s*)?([^,]+),\s*([^,]+),\s*Philippines.*"", ""$1, $2""), ""\d+"", """")), """")"),"San Mateo, Rizal")</f>
        <v>San Mateo, Rizal</v>
      </c>
    </row>
    <row r="890">
      <c r="A890" s="1" t="s">
        <v>2544</v>
      </c>
      <c r="B890" s="1" t="s">
        <v>2545</v>
      </c>
      <c r="C890" s="1" t="s">
        <v>9</v>
      </c>
      <c r="D890" s="1">
        <v>12.879721</v>
      </c>
      <c r="E890" s="1">
        <v>121.774017</v>
      </c>
      <c r="F890" s="1" t="s">
        <v>47</v>
      </c>
      <c r="G890" s="3" t="str">
        <f>IFERROR(__xludf.DUMMYFUNCTION("IF(REGEXMATCH(F890, ""(?:.*,\s*)?([^,]+),\s*([^,]+),\s*Philippines.*""), TRIM(REGEXREPLACE(REGEXREPLACE(F890, ""(?:.*,\s*)?([^,]+),\s*([^,]+),\s*Philippines.*"", ""$1, $2""), ""\d+"", """")), """")"),"")</f>
        <v/>
      </c>
    </row>
    <row r="891">
      <c r="A891" s="1" t="s">
        <v>2546</v>
      </c>
      <c r="B891" s="1" t="s">
        <v>2547</v>
      </c>
      <c r="C891" s="1" t="s">
        <v>13</v>
      </c>
      <c r="D891" s="1">
        <v>13.9570789</v>
      </c>
      <c r="E891" s="1">
        <v>122.2879509</v>
      </c>
      <c r="F891" s="1" t="s">
        <v>2548</v>
      </c>
      <c r="G891" s="3" t="str">
        <f>IFERROR(__xludf.DUMMYFUNCTION("IF(REGEXMATCH(F891, ""(?:.*,\s*)?([^,]+),\s*([^,]+),\s*Philippines.*""), TRIM(REGEXREPLACE(REGEXREPLACE(F891, ""(?:.*,\s*)?([^,]+),\s*([^,]+),\s*Philippines.*"", ""$1, $2""), ""\d+"", """")), """")"),"Calauag, Quezon")</f>
        <v>Calauag, Quezon</v>
      </c>
    </row>
    <row r="892">
      <c r="A892" s="1" t="s">
        <v>2549</v>
      </c>
      <c r="B892" s="1" t="s">
        <v>2550</v>
      </c>
      <c r="C892" s="1" t="s">
        <v>13</v>
      </c>
      <c r="D892" s="1">
        <v>14.1935047</v>
      </c>
      <c r="E892" s="1">
        <v>121.1781975</v>
      </c>
      <c r="F892" s="1" t="s">
        <v>2551</v>
      </c>
      <c r="G892" s="3" t="str">
        <f>IFERROR(__xludf.DUMMYFUNCTION("IF(REGEXMATCH(F892, ""(?:.*,\s*)?([^,]+),\s*([^,]+),\s*Philippines.*""), TRIM(REGEXREPLACE(REGEXREPLACE(F892, ""(?:.*,\s*)?([^,]+),\s*([^,]+),\s*Philippines.*"", ""$1, $2""), ""\d+"", """")), """")"),"Calamba, Laguna")</f>
        <v>Calamba, Laguna</v>
      </c>
    </row>
    <row r="893">
      <c r="A893" s="1" t="s">
        <v>2552</v>
      </c>
      <c r="B893" s="1" t="s">
        <v>2553</v>
      </c>
      <c r="C893" s="1" t="s">
        <v>9</v>
      </c>
      <c r="D893" s="1">
        <v>14.2085227</v>
      </c>
      <c r="E893" s="1">
        <v>121.1609716</v>
      </c>
      <c r="F893" s="1" t="s">
        <v>2554</v>
      </c>
      <c r="G893" s="3" t="str">
        <f>IFERROR(__xludf.DUMMYFUNCTION("IF(REGEXMATCH(F893, ""(?:.*,\s*)?([^,]+),\s*([^,]+),\s*Philippines.*""), TRIM(REGEXREPLACE(REGEXREPLACE(F893, ""(?:.*,\s*)?([^,]+),\s*([^,]+),\s*Philippines.*"", ""$1, $2""), ""\d+"", """")), """")"),"Calamba, Laguna")</f>
        <v>Calamba, Laguna</v>
      </c>
    </row>
    <row r="894">
      <c r="A894" s="1" t="s">
        <v>2555</v>
      </c>
      <c r="B894" s="1" t="s">
        <v>2272</v>
      </c>
      <c r="C894" s="1" t="s">
        <v>9</v>
      </c>
      <c r="D894" s="1">
        <v>14.5656805</v>
      </c>
      <c r="E894" s="1">
        <v>121.0320766</v>
      </c>
      <c r="F894" s="1" t="s">
        <v>489</v>
      </c>
      <c r="G894" s="3" t="str">
        <f>IFERROR(__xludf.DUMMYFUNCTION("IF(REGEXMATCH(F894, ""(?:.*,\s*)?([^,]+),\s*([^,]+),\s*Philippines.*""), TRIM(REGEXREPLACE(REGEXREPLACE(F894, ""(?:.*,\s*)?([^,]+),\s*([^,]+),\s*Philippines.*"", ""$1, $2""), ""\d+"", """")), """")"),"Makati City, Metro Manila")</f>
        <v>Makati City, Metro Manila</v>
      </c>
    </row>
    <row r="895">
      <c r="A895" s="1" t="s">
        <v>2556</v>
      </c>
      <c r="B895" s="1" t="s">
        <v>2557</v>
      </c>
      <c r="C895" s="1" t="s">
        <v>13</v>
      </c>
      <c r="D895" s="1">
        <v>14.3536999</v>
      </c>
      <c r="E895" s="1">
        <v>120.9492675</v>
      </c>
      <c r="F895" s="1" t="s">
        <v>2558</v>
      </c>
      <c r="G895" s="3" t="str">
        <f>IFERROR(__xludf.DUMMYFUNCTION("IF(REGEXMATCH(F895, ""(?:.*,\s*)?([^,]+),\s*([^,]+),\s*Philippines.*""), TRIM(REGEXREPLACE(REGEXREPLACE(F895, ""(?:.*,\s*)?([^,]+),\s*([^,]+),\s*Philippines.*"", ""$1, $2""), ""\d+"", """")), """")"),"Dasmariñas, Cavite")</f>
        <v>Dasmariñas, Cavite</v>
      </c>
    </row>
    <row r="896">
      <c r="A896" s="1" t="s">
        <v>2559</v>
      </c>
      <c r="B896" s="1" t="s">
        <v>2560</v>
      </c>
      <c r="C896" s="1" t="s">
        <v>13</v>
      </c>
      <c r="D896" s="1">
        <v>14.1669477</v>
      </c>
      <c r="E896" s="1">
        <v>121.6710859</v>
      </c>
      <c r="F896" s="1" t="s">
        <v>2561</v>
      </c>
      <c r="G896" s="3" t="str">
        <f>IFERROR(__xludf.DUMMYFUNCTION("IF(REGEXMATCH(F896, ""(?:.*,\s*)?([^,]+),\s*([^,]+),\s*Philippines.*""), TRIM(REGEXREPLACE(REGEXREPLACE(F896, ""(?:.*,\s*)?([^,]+),\s*([^,]+),\s*Philippines.*"", ""$1, $2""), ""\d+"", """")), """")"),"Sampaloc, Quezon")</f>
        <v>Sampaloc, Quezon</v>
      </c>
    </row>
    <row r="897">
      <c r="A897" s="1" t="s">
        <v>2562</v>
      </c>
      <c r="B897" s="1" t="s">
        <v>2563</v>
      </c>
      <c r="C897" s="1" t="s">
        <v>13</v>
      </c>
      <c r="D897" s="1">
        <v>13.7865776</v>
      </c>
      <c r="E897" s="1">
        <v>121.3841797</v>
      </c>
      <c r="F897" s="1" t="s">
        <v>2564</v>
      </c>
      <c r="G897" s="3" t="str">
        <f>IFERROR(__xludf.DUMMYFUNCTION("IF(REGEXMATCH(F897, ""(?:.*,\s*)?([^,]+),\s*([^,]+),\s*Philippines.*""), TRIM(REGEXREPLACE(REGEXREPLACE(F897, ""(?:.*,\s*)?([^,]+),\s*([^,]+),\s*Philippines.*"", ""$1, $2""), ""\d+"", """")), """")"),"San Juan, Batangas")</f>
        <v>San Juan, Batangas</v>
      </c>
    </row>
    <row r="898">
      <c r="A898" s="1" t="s">
        <v>2565</v>
      </c>
      <c r="B898" s="1" t="s">
        <v>2566</v>
      </c>
      <c r="C898" s="1" t="s">
        <v>13</v>
      </c>
      <c r="D898" s="1">
        <v>14.3800892</v>
      </c>
      <c r="E898" s="1">
        <v>120.8888283</v>
      </c>
      <c r="F898" s="1" t="s">
        <v>2567</v>
      </c>
      <c r="G898" s="3" t="str">
        <f>IFERROR(__xludf.DUMMYFUNCTION("IF(REGEXMATCH(F898, ""(?:.*,\s*)?([^,]+),\s*([^,]+),\s*Philippines.*""), TRIM(REGEXREPLACE(REGEXREPLACE(F898, ""(?:.*,\s*)?([^,]+),\s*([^,]+),\s*Philippines.*"", ""$1, $2""), ""\d+"", """")), """")"),"General Trias, Cavite")</f>
        <v>General Trias, Cavite</v>
      </c>
    </row>
    <row r="899">
      <c r="A899" s="1" t="s">
        <v>2568</v>
      </c>
      <c r="B899" s="1" t="s">
        <v>2569</v>
      </c>
      <c r="C899" s="1" t="s">
        <v>13</v>
      </c>
      <c r="D899" s="1">
        <v>13.5370187</v>
      </c>
      <c r="E899" s="1">
        <v>121.0879674</v>
      </c>
      <c r="F899" s="1" t="s">
        <v>2570</v>
      </c>
      <c r="G899" s="3" t="str">
        <f>IFERROR(__xludf.DUMMYFUNCTION("IF(REGEXMATCH(F899, ""(?:.*,\s*)?([^,]+),\s*([^,]+),\s*Philippines.*""), TRIM(REGEXREPLACE(REGEXREPLACE(F899, ""(?:.*,\s*)?([^,]+),\s*([^,]+),\s*Philippines.*"", ""$1, $2""), ""\d+"", """")), """")"),"Batangas City, Batangas")</f>
        <v>Batangas City, Batangas</v>
      </c>
    </row>
    <row r="900">
      <c r="A900" s="1" t="s">
        <v>2571</v>
      </c>
      <c r="B900" s="1" t="s">
        <v>2572</v>
      </c>
      <c r="C900" s="1" t="s">
        <v>13</v>
      </c>
      <c r="D900" s="1">
        <v>15.0509975</v>
      </c>
      <c r="E900" s="1">
        <v>120.6697495</v>
      </c>
      <c r="F900" s="1" t="s">
        <v>2573</v>
      </c>
      <c r="G900" s="3" t="str">
        <f>IFERROR(__xludf.DUMMYFUNCTION("IF(REGEXMATCH(F900, ""(?:.*,\s*)?([^,]+),\s*([^,]+),\s*Philippines.*""), TRIM(REGEXREPLACE(REGEXREPLACE(F900, ""(?:.*,\s*)?([^,]+),\s*([^,]+),\s*Philippines.*"", ""$1, $2""), ""\d+"", """")), """")"),"San Fernando, Pampanga")</f>
        <v>San Fernando, Pampanga</v>
      </c>
    </row>
    <row r="901">
      <c r="A901" s="1" t="s">
        <v>2574</v>
      </c>
      <c r="B901" s="1" t="s">
        <v>2575</v>
      </c>
      <c r="C901" s="1" t="s">
        <v>13</v>
      </c>
      <c r="D901" s="1">
        <v>13.357106</v>
      </c>
      <c r="E901" s="1">
        <v>122.6390489</v>
      </c>
      <c r="F901" s="1" t="s">
        <v>2576</v>
      </c>
      <c r="G901" s="3" t="str">
        <f>IFERROR(__xludf.DUMMYFUNCTION("IF(REGEXMATCH(F901, ""(?:.*,\s*)?([^,]+),\s*([^,]+),\s*Philippines.*""), TRIM(REGEXREPLACE(REGEXREPLACE(F901, ""(?:.*,\s*)?([^,]+),\s*([^,]+),\s*Philippines.*"", ""$1, $2""), ""\d+"", """")), """")"),"San Andres, Quezon")</f>
        <v>San Andres, Quezon</v>
      </c>
    </row>
    <row r="902">
      <c r="A902" s="1" t="s">
        <v>2577</v>
      </c>
      <c r="B902" s="1" t="s">
        <v>2578</v>
      </c>
      <c r="C902" s="1" t="s">
        <v>9</v>
      </c>
      <c r="D902" s="1">
        <v>14.2253537</v>
      </c>
      <c r="E902" s="1">
        <v>121.3618467</v>
      </c>
      <c r="F902" s="1" t="s">
        <v>2579</v>
      </c>
      <c r="G902" s="3" t="str">
        <f>IFERROR(__xludf.DUMMYFUNCTION("IF(REGEXMATCH(F902, ""(?:.*,\s*)?([^,]+),\s*([^,]+),\s*Philippines.*""), TRIM(REGEXREPLACE(REGEXREPLACE(F902, ""(?:.*,\s*)?([^,]+),\s*([^,]+),\s*Philippines.*"", ""$1, $2""), ""\d+"", """")), """")"),"Pila, Laguna")</f>
        <v>Pila, Laguna</v>
      </c>
    </row>
    <row r="903">
      <c r="A903" s="1" t="s">
        <v>2580</v>
      </c>
      <c r="B903" s="1" t="s">
        <v>2581</v>
      </c>
      <c r="C903" s="1" t="s">
        <v>13</v>
      </c>
      <c r="D903" s="1">
        <v>29.4251905</v>
      </c>
      <c r="E903" s="1">
        <v>-98.4945922</v>
      </c>
      <c r="F903" s="1" t="s">
        <v>2582</v>
      </c>
      <c r="G903" s="3" t="str">
        <f>IFERROR(__xludf.DUMMYFUNCTION("IF(REGEXMATCH(F903, ""(?:.*,\s*)?([^,]+),\s*([^,]+),\s*Philippines.*""), TRIM(REGEXREPLACE(REGEXREPLACE(F903, ""(?:.*,\s*)?([^,]+),\s*([^,]+),\s*Philippines.*"", ""$1, $2""), ""\d+"", """")), """")"),"")</f>
        <v/>
      </c>
    </row>
    <row r="904">
      <c r="A904" s="1" t="s">
        <v>2583</v>
      </c>
      <c r="B904" s="1" t="s">
        <v>287</v>
      </c>
      <c r="C904" s="1" t="s">
        <v>13</v>
      </c>
      <c r="D904" s="1">
        <v>13.8886975</v>
      </c>
      <c r="E904" s="1">
        <v>121.2864189</v>
      </c>
      <c r="F904" s="1" t="s">
        <v>2584</v>
      </c>
      <c r="G904" s="3" t="str">
        <f>IFERROR(__xludf.DUMMYFUNCTION("IF(REGEXMATCH(F904, ""(?:.*,\s*)?([^,]+),\s*([^,]+),\s*Philippines.*""), TRIM(REGEXREPLACE(REGEXREPLACE(F904, ""(?:.*,\s*)?([^,]+),\s*([^,]+),\s*Philippines.*"", ""$1, $2""), ""\d+"", """")), """")"),"San Antonio, Quezon")</f>
        <v>San Antonio, Quezon</v>
      </c>
    </row>
    <row r="905">
      <c r="A905" s="1" t="s">
        <v>2585</v>
      </c>
      <c r="B905" s="1" t="s">
        <v>2586</v>
      </c>
      <c r="C905" s="1" t="s">
        <v>13</v>
      </c>
      <c r="D905" s="1">
        <v>14.0226595</v>
      </c>
      <c r="E905" s="1">
        <v>121.2861275</v>
      </c>
      <c r="F905" s="1" t="s">
        <v>2587</v>
      </c>
      <c r="G905" s="3" t="str">
        <f>IFERROR(__xludf.DUMMYFUNCTION("IF(REGEXMATCH(F905, ""(?:.*,\s*)?([^,]+),\s*([^,]+),\s*Philippines.*""), TRIM(REGEXREPLACE(REGEXREPLACE(F905, ""(?:.*,\s*)?([^,]+),\s*([^,]+),\s*Philippines.*"", ""$1, $2""), ""\d+"", """")), """")"),"San Pablo City, Laguna")</f>
        <v>San Pablo City, Laguna</v>
      </c>
    </row>
    <row r="906">
      <c r="A906" s="1" t="s">
        <v>2588</v>
      </c>
      <c r="B906" s="1" t="s">
        <v>2589</v>
      </c>
      <c r="C906" s="1" t="s">
        <v>13</v>
      </c>
      <c r="D906" s="1">
        <v>14.1900755</v>
      </c>
      <c r="E906" s="1">
        <v>121.5655424</v>
      </c>
      <c r="F906" s="1" t="s">
        <v>2590</v>
      </c>
      <c r="G906" s="3" t="str">
        <f>IFERROR(__xludf.DUMMYFUNCTION("IF(REGEXMATCH(F906, ""(?:.*,\s*)?([^,]+),\s*([^,]+),\s*Philippines.*""), TRIM(REGEXREPLACE(REGEXREPLACE(F906, ""(?:.*,\s*)?([^,]+),\s*([^,]+),\s*Philippines.*"", ""$1, $2""), ""\d+"", """")), """")"),"Luisiana, Laguna")</f>
        <v>Luisiana, Laguna</v>
      </c>
    </row>
    <row r="907">
      <c r="A907" s="1" t="s">
        <v>2591</v>
      </c>
      <c r="B907" s="1" t="s">
        <v>2592</v>
      </c>
      <c r="C907" s="1" t="s">
        <v>13</v>
      </c>
      <c r="D907" s="1">
        <v>10.5941275</v>
      </c>
      <c r="E907" s="1">
        <v>122.1447998</v>
      </c>
      <c r="F907" s="1" t="s">
        <v>2511</v>
      </c>
      <c r="G907" s="3" t="str">
        <f>IFERROR(__xludf.DUMMYFUNCTION("IF(REGEXMATCH(F907, ""(?:.*,\s*)?([^,]+),\s*([^,]+),\s*Philippines.*""), TRIM(REGEXREPLACE(REGEXREPLACE(F907, ""(?:.*,\s*)?([^,]+),\s*([^,]+),\s*Philippines.*"", ""$1, $2""), ""\d+"", """")), """")"),"San Joaquin, Iloilo")</f>
        <v>San Joaquin, Iloilo</v>
      </c>
    </row>
    <row r="908">
      <c r="A908" s="1" t="s">
        <v>2593</v>
      </c>
      <c r="B908" s="1" t="s">
        <v>2594</v>
      </c>
      <c r="C908" s="1" t="s">
        <v>13</v>
      </c>
      <c r="D908" s="1">
        <v>14.0252302</v>
      </c>
      <c r="E908" s="1">
        <v>121.3778687</v>
      </c>
      <c r="F908" s="1" t="s">
        <v>2595</v>
      </c>
      <c r="G908" s="3" t="str">
        <f>IFERROR(__xludf.DUMMYFUNCTION("IF(REGEXMATCH(F908, ""(?:.*,\s*)?([^,]+),\s*([^,]+),\s*Philippines.*""), TRIM(REGEXREPLACE(REGEXREPLACE(F908, ""(?:.*,\s*)?([^,]+),\s*([^,]+),\s*Philippines.*"", ""$1, $2""), ""\d+"", """")), """")"),"San Pablo City, Laguna")</f>
        <v>San Pablo City, Laguna</v>
      </c>
    </row>
    <row r="909">
      <c r="A909" s="1" t="s">
        <v>2596</v>
      </c>
      <c r="B909" s="1" t="s">
        <v>2597</v>
      </c>
      <c r="C909" s="1" t="s">
        <v>13</v>
      </c>
      <c r="D909" s="1">
        <v>13.7754577</v>
      </c>
      <c r="E909" s="1">
        <v>122.3050823</v>
      </c>
      <c r="F909" s="1" t="s">
        <v>2598</v>
      </c>
      <c r="G909" s="3" t="str">
        <f>IFERROR(__xludf.DUMMYFUNCTION("IF(REGEXMATCH(F909, ""(?:.*,\s*)?([^,]+),\s*([^,]+),\s*Philippines.*""), TRIM(REGEXREPLACE(REGEXREPLACE(F909, ""(?:.*,\s*)?([^,]+),\s*([^,]+),\s*Philippines.*"", ""$1, $2""), ""\d+"", """")), """")"),"Lopez, Quezon")</f>
        <v>Lopez, Quezon</v>
      </c>
    </row>
    <row r="910">
      <c r="A910" s="1" t="s">
        <v>2599</v>
      </c>
      <c r="B910" s="1" t="s">
        <v>2592</v>
      </c>
      <c r="C910" s="1" t="s">
        <v>13</v>
      </c>
      <c r="D910" s="1">
        <v>10.5941275</v>
      </c>
      <c r="E910" s="1">
        <v>122.1447998</v>
      </c>
      <c r="F910" s="1" t="s">
        <v>2511</v>
      </c>
      <c r="G910" s="3" t="str">
        <f>IFERROR(__xludf.DUMMYFUNCTION("IF(REGEXMATCH(F910, ""(?:.*,\s*)?([^,]+),\s*([^,]+),\s*Philippines.*""), TRIM(REGEXREPLACE(REGEXREPLACE(F910, ""(?:.*,\s*)?([^,]+),\s*([^,]+),\s*Philippines.*"", ""$1, $2""), ""\d+"", """")), """")"),"San Joaquin, Iloilo")</f>
        <v>San Joaquin, Iloilo</v>
      </c>
    </row>
    <row r="911">
      <c r="A911" s="1" t="s">
        <v>2600</v>
      </c>
      <c r="B911" s="1" t="s">
        <v>2601</v>
      </c>
      <c r="C911" s="1" t="s">
        <v>13</v>
      </c>
      <c r="D911" s="1">
        <v>12.879721</v>
      </c>
      <c r="E911" s="1">
        <v>121.774017</v>
      </c>
      <c r="F911" s="1" t="s">
        <v>47</v>
      </c>
      <c r="G911" s="3" t="str">
        <f>IFERROR(__xludf.DUMMYFUNCTION("IF(REGEXMATCH(F911, ""(?:.*,\s*)?([^,]+),\s*([^,]+),\s*Philippines.*""), TRIM(REGEXREPLACE(REGEXREPLACE(F911, ""(?:.*,\s*)?([^,]+),\s*([^,]+),\s*Philippines.*"", ""$1, $2""), ""\d+"", """")), """")"),"")</f>
        <v/>
      </c>
    </row>
    <row r="912">
      <c r="A912" s="1" t="s">
        <v>2602</v>
      </c>
      <c r="B912" s="1" t="s">
        <v>2603</v>
      </c>
      <c r="C912" s="1" t="s">
        <v>13</v>
      </c>
      <c r="D912" s="1">
        <v>14.9787824</v>
      </c>
      <c r="E912" s="1">
        <v>120.153957</v>
      </c>
      <c r="F912" s="1" t="s">
        <v>2604</v>
      </c>
      <c r="G912" s="3" t="str">
        <f>IFERROR(__xludf.DUMMYFUNCTION("IF(REGEXMATCH(F912, ""(?:.*,\s*)?([^,]+),\s*([^,]+),\s*Philippines.*""), TRIM(REGEXREPLACE(REGEXREPLACE(F912, ""(?:.*,\s*)?([^,]+),\s*([^,]+),\s*Philippines.*"", ""$1, $2""), ""\d+"", """")), """")"),"San Marcelino, Zambales")</f>
        <v>San Marcelino, Zambales</v>
      </c>
    </row>
    <row r="913">
      <c r="A913" s="1" t="s">
        <v>2605</v>
      </c>
      <c r="B913" s="1" t="s">
        <v>793</v>
      </c>
      <c r="C913" s="1" t="s">
        <v>13</v>
      </c>
      <c r="D913" s="1">
        <v>10.5889969</v>
      </c>
      <c r="E913" s="1">
        <v>122.141251</v>
      </c>
      <c r="F913" s="1" t="s">
        <v>2606</v>
      </c>
      <c r="G913" s="3" t="str">
        <f>IFERROR(__xludf.DUMMYFUNCTION("IF(REGEXMATCH(F913, ""(?:.*,\s*)?([^,]+),\s*([^,]+),\s*Philippines.*""), TRIM(REGEXREPLACE(REGEXREPLACE(F913, ""(?:.*,\s*)?([^,]+),\s*([^,]+),\s*Philippines.*"", ""$1, $2""), ""\d+"", """")), """")"),"San Joaquin, Iloilo")</f>
        <v>San Joaquin, Iloilo</v>
      </c>
    </row>
    <row r="914">
      <c r="A914" s="1" t="s">
        <v>2607</v>
      </c>
      <c r="B914" s="1" t="s">
        <v>2608</v>
      </c>
      <c r="C914" s="1" t="s">
        <v>13</v>
      </c>
      <c r="D914" s="1">
        <v>13.9590585</v>
      </c>
      <c r="E914" s="1">
        <v>121.2042766</v>
      </c>
      <c r="F914" s="1" t="s">
        <v>2609</v>
      </c>
      <c r="G914" s="3" t="str">
        <f>IFERROR(__xludf.DUMMYFUNCTION("IF(REGEXMATCH(F914, ""(?:.*,\s*)?([^,]+),\s*([^,]+),\s*Philippines.*""), TRIM(REGEXREPLACE(REGEXREPLACE(F914, ""(?:.*,\s*)?([^,]+),\s*([^,]+),\s*Philippines.*"", ""$1, $2""), ""\d+"", """")), """")"),"Lipa City, Batangas")</f>
        <v>Lipa City, Batangas</v>
      </c>
    </row>
    <row r="915">
      <c r="A915" s="1" t="s">
        <v>2610</v>
      </c>
      <c r="B915" s="1" t="s">
        <v>1882</v>
      </c>
      <c r="C915" s="1" t="s">
        <v>13</v>
      </c>
      <c r="D915" s="1">
        <v>15.0601675</v>
      </c>
      <c r="E915" s="1">
        <v>120.6530644</v>
      </c>
      <c r="F915" s="1" t="s">
        <v>2611</v>
      </c>
      <c r="G915" s="3" t="str">
        <f>IFERROR(__xludf.DUMMYFUNCTION("IF(REGEXMATCH(F915, ""(?:.*,\s*)?([^,]+),\s*([^,]+),\s*Philippines.*""), TRIM(REGEXREPLACE(REGEXREPLACE(F915, ""(?:.*,\s*)?([^,]+),\s*([^,]+),\s*Philippines.*"", ""$1, $2""), ""\d+"", """")), """")"),"San Fernando, Pampanga")</f>
        <v>San Fernando, Pampanga</v>
      </c>
    </row>
    <row r="916">
      <c r="A916" s="1" t="s">
        <v>2612</v>
      </c>
      <c r="B916" s="1" t="s">
        <v>2613</v>
      </c>
      <c r="C916" s="1" t="s">
        <v>13</v>
      </c>
      <c r="D916" s="1">
        <v>13.6329241</v>
      </c>
      <c r="E916" s="1">
        <v>122.2410547</v>
      </c>
      <c r="F916" s="1" t="s">
        <v>2614</v>
      </c>
      <c r="G916" s="3" t="str">
        <f>IFERROR(__xludf.DUMMYFUNCTION("IF(REGEXMATCH(F916, ""(?:.*,\s*)?([^,]+),\s*([^,]+),\s*Philippines.*""), TRIM(REGEXREPLACE(REGEXREPLACE(F916, ""(?:.*,\s*)?([^,]+),\s*([^,]+),\s*Philippines.*"", ""$1, $2""), ""\d+"", """")), """")"),"Catanauan, Quezon")</f>
        <v>Catanauan, Quezon</v>
      </c>
    </row>
    <row r="917">
      <c r="A917" s="1" t="s">
        <v>2615</v>
      </c>
      <c r="B917" s="1" t="s">
        <v>1882</v>
      </c>
      <c r="C917" s="1" t="s">
        <v>13</v>
      </c>
      <c r="D917" s="1">
        <v>13.9177711</v>
      </c>
      <c r="E917" s="1">
        <v>121.8704926</v>
      </c>
      <c r="F917" s="1" t="s">
        <v>2616</v>
      </c>
      <c r="G917" s="3" t="str">
        <f>IFERROR(__xludf.DUMMYFUNCTION("IF(REGEXMATCH(F917, ""(?:.*,\s*)?([^,]+),\s*([^,]+),\s*Philippines.*""), TRIM(REGEXREPLACE(REGEXREPLACE(F917, ""(?:.*,\s*)?([^,]+),\s*([^,]+),\s*Philippines.*"", ""$1, $2""), ""\d+"", """")), """")"),"Padre Burgos, Quezon")</f>
        <v>Padre Burgos, Quezon</v>
      </c>
    </row>
    <row r="918">
      <c r="A918" s="1" t="s">
        <v>2617</v>
      </c>
      <c r="B918" s="1" t="s">
        <v>2618</v>
      </c>
      <c r="C918" s="1" t="s">
        <v>13</v>
      </c>
      <c r="D918" s="1">
        <v>13.6666546</v>
      </c>
      <c r="E918" s="1">
        <v>122.2143323</v>
      </c>
      <c r="F918" s="1" t="s">
        <v>2619</v>
      </c>
      <c r="G918" s="3" t="str">
        <f>IFERROR(__xludf.DUMMYFUNCTION("IF(REGEXMATCH(F918, ""(?:.*,\s*)?([^,]+),\s*([^,]+),\s*Philippines.*""), TRIM(REGEXREPLACE(REGEXREPLACE(F918, ""(?:.*,\s*)?([^,]+),\s*([^,]+),\s*Philippines.*"", ""$1, $2""), ""\d+"", """")), """")"),"General Luna, Quezon")</f>
        <v>General Luna, Quezon</v>
      </c>
    </row>
    <row r="919">
      <c r="A919" s="1" t="s">
        <v>2620</v>
      </c>
      <c r="C919" s="1" t="s">
        <v>9</v>
      </c>
      <c r="D919" s="1">
        <v>14.7492875</v>
      </c>
      <c r="E919" s="1">
        <v>121.1580822</v>
      </c>
      <c r="F919" s="1" t="s">
        <v>2621</v>
      </c>
      <c r="G919" s="3" t="str">
        <f>IFERROR(__xludf.DUMMYFUNCTION("IF(REGEXMATCH(F919, ""(?:.*,\s*)?([^,]+),\s*([^,]+),\s*Philippines.*""), TRIM(REGEXREPLACE(REGEXREPLACE(F919, ""(?:.*,\s*)?([^,]+),\s*([^,]+),\s*Philippines.*"", ""$1, $2""), ""\d+"", """")), """")"),"Rodriguez, Metro Manila")</f>
        <v>Rodriguez, Metro Manila</v>
      </c>
    </row>
    <row r="920">
      <c r="A920" s="1" t="s">
        <v>2622</v>
      </c>
      <c r="C920" s="1" t="s">
        <v>9</v>
      </c>
      <c r="D920" s="1">
        <v>14.0475849</v>
      </c>
      <c r="E920" s="1">
        <v>121.161261</v>
      </c>
      <c r="F920" s="1" t="s">
        <v>1897</v>
      </c>
      <c r="G920" s="3" t="str">
        <f>IFERROR(__xludf.DUMMYFUNCTION("IF(REGEXMATCH(F920, ""(?:.*,\s*)?([^,]+),\s*([^,]+),\s*Philippines.*""), TRIM(REGEXREPLACE(REGEXREPLACE(F920, ""(?:.*,\s*)?([^,]+),\s*([^,]+),\s*Philippines.*"", ""$1, $2""), ""\d+"", """")), """")"),"Malvar, Batangas")</f>
        <v>Malvar, Batangas</v>
      </c>
    </row>
    <row r="921">
      <c r="A921" s="1" t="s">
        <v>2623</v>
      </c>
      <c r="B921" s="1" t="s">
        <v>2624</v>
      </c>
      <c r="C921" s="1" t="s">
        <v>13</v>
      </c>
      <c r="D921" s="1">
        <v>14.330367</v>
      </c>
      <c r="E921" s="1">
        <v>121.035408</v>
      </c>
      <c r="F921" s="1" t="s">
        <v>2625</v>
      </c>
      <c r="G921" s="3" t="str">
        <f>IFERROR(__xludf.DUMMYFUNCTION("IF(REGEXMATCH(F921, ""(?:.*,\s*)?([^,]+),\s*([^,]+),\s*Philippines.*""), TRIM(REGEXREPLACE(REGEXREPLACE(F921, ""(?:.*,\s*)?([^,]+),\s*([^,]+),\s*Philippines.*"", ""$1, $2""), ""\d+"", """")), """")"),"San Pedro, Cavite")</f>
        <v>San Pedro, Cavite</v>
      </c>
    </row>
    <row r="922">
      <c r="A922" s="1" t="s">
        <v>2626</v>
      </c>
      <c r="B922" s="1" t="s">
        <v>2627</v>
      </c>
      <c r="C922" s="1" t="s">
        <v>13</v>
      </c>
      <c r="D922" s="1">
        <v>15.9827635</v>
      </c>
      <c r="E922" s="1">
        <v>120.5077582</v>
      </c>
      <c r="F922" s="1" t="s">
        <v>2628</v>
      </c>
      <c r="G922" s="3" t="str">
        <f>IFERROR(__xludf.DUMMYFUNCTION("IF(REGEXMATCH(F922, ""(?:.*,\s*)?([^,]+),\s*([^,]+),\s*Philippines.*""), TRIM(REGEXREPLACE(REGEXREPLACE(F922, ""(?:.*,\s*)?([^,]+),\s*([^,]+),\s*Philippines.*"", ""$1, $2""), ""\d+"", """")), """")"),"Urdaneta City, Pangasinan")</f>
        <v>Urdaneta City, Pangasinan</v>
      </c>
    </row>
    <row r="923">
      <c r="A923" s="1" t="s">
        <v>2629</v>
      </c>
      <c r="B923" s="1" t="s">
        <v>2630</v>
      </c>
      <c r="C923" s="1" t="s">
        <v>9</v>
      </c>
      <c r="D923" s="1">
        <v>14.7353899</v>
      </c>
      <c r="E923" s="1">
        <v>121.1300115</v>
      </c>
      <c r="F923" s="1" t="s">
        <v>2631</v>
      </c>
      <c r="G923" s="3" t="str">
        <f>IFERROR(__xludf.DUMMYFUNCTION("IF(REGEXMATCH(F923, ""(?:.*,\s*)?([^,]+),\s*([^,]+),\s*Philippines.*""), TRIM(REGEXREPLACE(REGEXREPLACE(F923, ""(?:.*,\s*)?([^,]+),\s*([^,]+),\s*Philippines.*"", ""$1, $2""), ""\d+"", """")), """")"),"Rodriguez, Rizal")</f>
        <v>Rodriguez, Rizal</v>
      </c>
    </row>
    <row r="924">
      <c r="A924" s="1" t="s">
        <v>2632</v>
      </c>
      <c r="B924" s="1" t="s">
        <v>2633</v>
      </c>
      <c r="C924" s="1" t="s">
        <v>9</v>
      </c>
      <c r="D924" s="1">
        <v>14.7353899</v>
      </c>
      <c r="E924" s="1">
        <v>121.1300115</v>
      </c>
      <c r="F924" s="1" t="s">
        <v>2631</v>
      </c>
      <c r="G924" s="3" t="str">
        <f>IFERROR(__xludf.DUMMYFUNCTION("IF(REGEXMATCH(F924, ""(?:.*,\s*)?([^,]+),\s*([^,]+),\s*Philippines.*""), TRIM(REGEXREPLACE(REGEXREPLACE(F924, ""(?:.*,\s*)?([^,]+),\s*([^,]+),\s*Philippines.*"", ""$1, $2""), ""\d+"", """")), """")"),"Rodriguez, Rizal")</f>
        <v>Rodriguez, Rizal</v>
      </c>
    </row>
    <row r="925">
      <c r="A925" s="1" t="s">
        <v>2634</v>
      </c>
      <c r="B925" s="1" t="s">
        <v>2635</v>
      </c>
      <c r="C925" s="1" t="s">
        <v>13</v>
      </c>
      <c r="D925" s="1">
        <v>14.58463</v>
      </c>
      <c r="E925" s="1">
        <v>121.181511</v>
      </c>
      <c r="F925" s="1" t="s">
        <v>2636</v>
      </c>
      <c r="G925" s="3" t="str">
        <f>IFERROR(__xludf.DUMMYFUNCTION("IF(REGEXMATCH(F925, ""(?:.*,\s*)?([^,]+),\s*([^,]+),\s*Philippines.*""), TRIM(REGEXREPLACE(REGEXREPLACE(F925, ""(?:.*,\s*)?([^,]+),\s*([^,]+),\s*Philippines.*"", ""$1, $2""), ""\d+"", """")), """")"),"Antipolo, Rizal")</f>
        <v>Antipolo, Rizal</v>
      </c>
    </row>
    <row r="926">
      <c r="A926" s="1" t="s">
        <v>2637</v>
      </c>
      <c r="B926" s="1" t="s">
        <v>2638</v>
      </c>
      <c r="C926" s="1" t="s">
        <v>13</v>
      </c>
      <c r="D926" s="1">
        <v>13.6521384</v>
      </c>
      <c r="E926" s="1">
        <v>122.384425</v>
      </c>
      <c r="F926" s="1" t="s">
        <v>2639</v>
      </c>
      <c r="G926" s="3" t="str">
        <f>IFERROR(__xludf.DUMMYFUNCTION("IF(REGEXMATCH(F926, ""(?:.*,\s*)?([^,]+),\s*([^,]+),\s*Philippines.*""), TRIM(REGEXREPLACE(REGEXREPLACE(F926, ""(?:.*,\s*)?([^,]+),\s*([^,]+),\s*Philippines.*"", ""$1, $2""), ""\d+"", """")), """")"),"Catanauan, Quezon")</f>
        <v>Catanauan, Quezon</v>
      </c>
    </row>
    <row r="927">
      <c r="A927" s="1" t="s">
        <v>2640</v>
      </c>
      <c r="B927" s="1" t="s">
        <v>2641</v>
      </c>
      <c r="C927" s="1" t="s">
        <v>13</v>
      </c>
      <c r="D927" s="1">
        <v>13.8152045</v>
      </c>
      <c r="E927" s="1">
        <v>121.3992474</v>
      </c>
      <c r="F927" s="1" t="s">
        <v>2642</v>
      </c>
      <c r="G927" s="3" t="str">
        <f>IFERROR(__xludf.DUMMYFUNCTION("IF(REGEXMATCH(F927, ""(?:.*,\s*)?([^,]+),\s*([^,]+),\s*Philippines.*""), TRIM(REGEXREPLACE(REGEXREPLACE(F927, ""(?:.*,\s*)?([^,]+),\s*([^,]+),\s*Philippines.*"", ""$1, $2""), ""\d+"", """")), """")"),"San Juan, Batangas")</f>
        <v>San Juan, Batangas</v>
      </c>
    </row>
    <row r="928">
      <c r="A928" s="1" t="s">
        <v>2643</v>
      </c>
      <c r="B928" s="1" t="s">
        <v>2644</v>
      </c>
      <c r="C928" s="1" t="s">
        <v>13</v>
      </c>
      <c r="D928" s="1">
        <v>15.9152012</v>
      </c>
      <c r="E928" s="1">
        <v>120.376697</v>
      </c>
      <c r="F928" s="1" t="s">
        <v>2645</v>
      </c>
      <c r="G928" s="3" t="str">
        <f>IFERROR(__xludf.DUMMYFUNCTION("IF(REGEXMATCH(F928, ""(?:.*,\s*)?([^,]+),\s*([^,]+),\s*Philippines.*""), TRIM(REGEXREPLACE(REGEXREPLACE(F928, ""(?:.*,\s*)?([^,]+),\s*([^,]+),\s*Philippines.*"", ""$1, $2""), ""\d+"", """")), """")"),"San Carlos City, Pangasinan")</f>
        <v>San Carlos City, Pangasinan</v>
      </c>
    </row>
    <row r="929">
      <c r="A929" s="1" t="s">
        <v>2646</v>
      </c>
      <c r="B929" s="1" t="s">
        <v>2647</v>
      </c>
      <c r="C929" s="1" t="s">
        <v>9</v>
      </c>
      <c r="D929" s="1">
        <v>13.8313811</v>
      </c>
      <c r="E929" s="1">
        <v>121.3977728</v>
      </c>
      <c r="F929" s="1" t="s">
        <v>2648</v>
      </c>
      <c r="G929" s="3" t="str">
        <f>IFERROR(__xludf.DUMMYFUNCTION("IF(REGEXMATCH(F929, ""(?:.*,\s*)?([^,]+),\s*([^,]+),\s*Philippines.*""), TRIM(REGEXREPLACE(REGEXREPLACE(F929, ""(?:.*,\s*)?([^,]+),\s*([^,]+),\s*Philippines.*"", ""$1, $2""), ""\d+"", """")), """")"),"San Juan, Batangas")</f>
        <v>San Juan, Batangas</v>
      </c>
    </row>
    <row r="930">
      <c r="A930" s="1" t="s">
        <v>2649</v>
      </c>
      <c r="B930" s="1" t="s">
        <v>2650</v>
      </c>
      <c r="C930" s="1" t="s">
        <v>13</v>
      </c>
      <c r="D930" s="1">
        <v>13.8428872</v>
      </c>
      <c r="E930" s="1">
        <v>120.9726537</v>
      </c>
      <c r="F930" s="1" t="s">
        <v>2651</v>
      </c>
      <c r="G930" s="3" t="str">
        <f>IFERROR(__xludf.DUMMYFUNCTION("IF(REGEXMATCH(F930, ""(?:.*,\s*)?([^,]+),\s*([^,]+),\s*Philippines.*""), TRIM(REGEXREPLACE(REGEXREPLACE(F930, ""(?:.*,\s*)?([^,]+),\s*([^,]+),\s*Philippines.*"", ""$1, $2""), ""\d+"", """")), """")"),"San Luis, Batangas")</f>
        <v>San Luis, Batangas</v>
      </c>
    </row>
    <row r="931">
      <c r="A931" s="1" t="s">
        <v>2652</v>
      </c>
      <c r="B931" s="1" t="s">
        <v>2653</v>
      </c>
      <c r="C931" s="1" t="s">
        <v>9</v>
      </c>
      <c r="D931" s="1">
        <v>13.843601</v>
      </c>
      <c r="E931" s="1">
        <v>120.9736346</v>
      </c>
      <c r="F931" s="1" t="s">
        <v>2654</v>
      </c>
      <c r="G931" s="3" t="str">
        <f>IFERROR(__xludf.DUMMYFUNCTION("IF(REGEXMATCH(F931, ""(?:.*,\s*)?([^,]+),\s*([^,]+),\s*Philippines.*""), TRIM(REGEXREPLACE(REGEXREPLACE(F931, ""(?:.*,\s*)?([^,]+),\s*([^,]+),\s*Philippines.*"", ""$1, $2""), ""\d+"", """")), """")"),"San Luis, Batangas")</f>
        <v>San Luis, Batangas</v>
      </c>
    </row>
    <row r="932">
      <c r="A932" s="1" t="s">
        <v>2655</v>
      </c>
      <c r="B932" s="1" t="s">
        <v>2656</v>
      </c>
      <c r="C932" s="1" t="s">
        <v>9</v>
      </c>
      <c r="D932" s="1">
        <v>14.6922875</v>
      </c>
      <c r="E932" s="1">
        <v>121.1200156</v>
      </c>
      <c r="F932" s="1" t="s">
        <v>2657</v>
      </c>
      <c r="G932" s="3" t="str">
        <f>IFERROR(__xludf.DUMMYFUNCTION("IF(REGEXMATCH(F932, ""(?:.*,\s*)?([^,]+),\s*([^,]+),\s*Philippines.*""), TRIM(REGEXREPLACE(REGEXREPLACE(F932, ""(?:.*,\s*)?([^,]+),\s*([^,]+),\s*Philippines.*"", ""$1, $2""), ""\d+"", """")), """")"),"San Mateo, Rizal")</f>
        <v>San Mateo, Rizal</v>
      </c>
    </row>
    <row r="933">
      <c r="A933" s="1" t="s">
        <v>2658</v>
      </c>
      <c r="B933" s="1" t="s">
        <v>2659</v>
      </c>
      <c r="C933" s="1" t="s">
        <v>13</v>
      </c>
      <c r="D933" s="1">
        <v>7.6396649</v>
      </c>
      <c r="E933" s="1">
        <v>126.121821</v>
      </c>
      <c r="F933" s="1" t="s">
        <v>2660</v>
      </c>
      <c r="G933" s="3" t="str">
        <f>IFERROR(__xludf.DUMMYFUNCTION("IF(REGEXMATCH(F933, ""(?:.*,\s*)?([^,]+),\s*([^,]+),\s*Philippines.*""), TRIM(REGEXREPLACE(REGEXREPLACE(F933, ""(?:.*,\s*)?([^,]+),\s*([^,]+),\s*Philippines.*"", ""$1, $2""), ""\d+"", """")), """")"),"Compostela, Davao de Oro")</f>
        <v>Compostela, Davao de Oro</v>
      </c>
    </row>
    <row r="934">
      <c r="A934" s="1" t="s">
        <v>2661</v>
      </c>
      <c r="B934" s="1" t="s">
        <v>2662</v>
      </c>
      <c r="C934" s="1" t="s">
        <v>13</v>
      </c>
      <c r="D934" s="1">
        <v>13.9186506</v>
      </c>
      <c r="E934" s="1">
        <v>120.9424541</v>
      </c>
      <c r="F934" s="1" t="s">
        <v>751</v>
      </c>
      <c r="G934" s="3" t="str">
        <f>IFERROR(__xludf.DUMMYFUNCTION("IF(REGEXMATCH(F934, ""(?:.*,\s*)?([^,]+),\s*([^,]+),\s*Philippines.*""), TRIM(REGEXREPLACE(REGEXREPLACE(F934, ""(?:.*,\s*)?([^,]+),\s*([^,]+),\s*Philippines.*"", ""$1, $2""), ""\d+"", """")), """")"),"San Nicolas, Batangas")</f>
        <v>San Nicolas, Batangas</v>
      </c>
    </row>
    <row r="935">
      <c r="A935" s="1" t="s">
        <v>2663</v>
      </c>
      <c r="B935" s="1" t="s">
        <v>2664</v>
      </c>
      <c r="C935" s="1" t="s">
        <v>13</v>
      </c>
      <c r="D935" s="1">
        <v>14.0713812</v>
      </c>
      <c r="E935" s="1">
        <v>121.3296392</v>
      </c>
      <c r="F935" s="1" t="s">
        <v>2665</v>
      </c>
      <c r="G935" s="3" t="str">
        <f>IFERROR(__xludf.DUMMYFUNCTION("IF(REGEXMATCH(F935, ""(?:.*,\s*)?([^,]+),\s*([^,]+),\s*Philippines.*""), TRIM(REGEXREPLACE(REGEXREPLACE(F935, ""(?:.*,\s*)?([^,]+),\s*([^,]+),\s*Philippines.*"", ""$1, $2""), ""\d+"", """")), """")"),"San Pablo City, Laguna")</f>
        <v>San Pablo City, Laguna</v>
      </c>
    </row>
    <row r="936">
      <c r="A936" s="1" t="s">
        <v>2666</v>
      </c>
      <c r="B936" s="1" t="s">
        <v>2667</v>
      </c>
      <c r="C936" s="1" t="s">
        <v>13</v>
      </c>
      <c r="D936" s="1">
        <v>14.0797302</v>
      </c>
      <c r="E936" s="1">
        <v>121.3195505</v>
      </c>
      <c r="F936" s="1" t="s">
        <v>2668</v>
      </c>
      <c r="G936" s="3" t="str">
        <f>IFERROR(__xludf.DUMMYFUNCTION("IF(REGEXMATCH(F936, ""(?:.*,\s*)?([^,]+),\s*([^,]+),\s*Philippines.*""), TRIM(REGEXREPLACE(REGEXREPLACE(F936, ""(?:.*,\s*)?([^,]+),\s*([^,]+),\s*Philippines.*"", ""$1, $2""), ""\d+"", """")), """")"),"San Pablo City, Laguna")</f>
        <v>San Pablo City, Laguna</v>
      </c>
    </row>
    <row r="937">
      <c r="A937" s="1" t="s">
        <v>2669</v>
      </c>
      <c r="B937" s="1" t="s">
        <v>2627</v>
      </c>
      <c r="C937" s="1" t="s">
        <v>13</v>
      </c>
      <c r="D937" s="1">
        <v>14.0646816</v>
      </c>
      <c r="E937" s="1">
        <v>121.3423771</v>
      </c>
      <c r="F937" s="1" t="s">
        <v>2670</v>
      </c>
      <c r="G937" s="3" t="str">
        <f>IFERROR(__xludf.DUMMYFUNCTION("IF(REGEXMATCH(F937, ""(?:.*,\s*)?([^,]+),\s*([^,]+),\s*Philippines.*""), TRIM(REGEXREPLACE(REGEXREPLACE(F937, ""(?:.*,\s*)?([^,]+),\s*([^,]+),\s*Philippines.*"", ""$1, $2""), ""\d+"", """")), """")"),"San Pablo City, Laguna")</f>
        <v>San Pablo City, Laguna</v>
      </c>
    </row>
    <row r="938">
      <c r="A938" s="1" t="s">
        <v>2671</v>
      </c>
      <c r="B938" s="1" t="s">
        <v>2672</v>
      </c>
      <c r="C938" s="1" t="s">
        <v>9</v>
      </c>
      <c r="D938" s="1">
        <v>14.0670772</v>
      </c>
      <c r="E938" s="1">
        <v>121.3276139</v>
      </c>
      <c r="F938" s="1" t="s">
        <v>2673</v>
      </c>
      <c r="G938" s="3" t="str">
        <f>IFERROR(__xludf.DUMMYFUNCTION("IF(REGEXMATCH(F938, ""(?:.*,\s*)?([^,]+),\s*([^,]+),\s*Philippines.*""), TRIM(REGEXREPLACE(REGEXREPLACE(F938, ""(?:.*,\s*)?([^,]+),\s*([^,]+),\s*Philippines.*"", ""$1, $2""), ""\d+"", """")), """")"),"San Pablo City, Laguna")</f>
        <v>San Pablo City, Laguna</v>
      </c>
    </row>
    <row r="939">
      <c r="A939" s="1" t="s">
        <v>2674</v>
      </c>
      <c r="B939" s="1" t="s">
        <v>2675</v>
      </c>
      <c r="C939" s="1" t="s">
        <v>9</v>
      </c>
      <c r="D939" s="1">
        <v>13.7865017</v>
      </c>
      <c r="E939" s="1">
        <v>121.0184427</v>
      </c>
      <c r="F939" s="1" t="s">
        <v>2676</v>
      </c>
      <c r="G939" s="3" t="str">
        <f>IFERROR(__xludf.DUMMYFUNCTION("IF(REGEXMATCH(F939, ""(?:.*,\s*)?([^,]+),\s*([^,]+),\s*Philippines.*""), TRIM(REGEXREPLACE(REGEXREPLACE(F939, ""(?:.*,\s*)?([^,]+),\s*([^,]+),\s*Philippines.*"", ""$1, $2""), ""\d+"", """")), """")"),"San Pascual, Batangas")</f>
        <v>San Pascual, Batangas</v>
      </c>
    </row>
    <row r="940">
      <c r="A940" s="1" t="s">
        <v>2677</v>
      </c>
      <c r="B940" s="1" t="s">
        <v>2678</v>
      </c>
      <c r="C940" s="1" t="s">
        <v>9</v>
      </c>
      <c r="D940" s="1">
        <v>13.7865017</v>
      </c>
      <c r="E940" s="1">
        <v>121.0184427</v>
      </c>
      <c r="F940" s="1" t="s">
        <v>2676</v>
      </c>
      <c r="G940" s="3" t="str">
        <f>IFERROR(__xludf.DUMMYFUNCTION("IF(REGEXMATCH(F940, ""(?:.*,\s*)?([^,]+),\s*([^,]+),\s*Philippines.*""), TRIM(REGEXREPLACE(REGEXREPLACE(F940, ""(?:.*,\s*)?([^,]+),\s*([^,]+),\s*Philippines.*"", ""$1, $2""), ""\d+"", """")), """")"),"San Pascual, Batangas")</f>
        <v>San Pascual, Batangas</v>
      </c>
    </row>
    <row r="941">
      <c r="A941" s="1" t="s">
        <v>2679</v>
      </c>
      <c r="B941" s="1" t="s">
        <v>2680</v>
      </c>
      <c r="C941" s="1" t="s">
        <v>9</v>
      </c>
      <c r="D941" s="1">
        <v>14.3543843</v>
      </c>
      <c r="E941" s="1">
        <v>121.0616464</v>
      </c>
      <c r="F941" s="1" t="s">
        <v>2681</v>
      </c>
      <c r="G941" s="3" t="str">
        <f>IFERROR(__xludf.DUMMYFUNCTION("IF(REGEXMATCH(F941, ""(?:.*,\s*)?([^,]+),\s*([^,]+),\s*Philippines.*""), TRIM(REGEXREPLACE(REGEXREPLACE(F941, ""(?:.*,\s*)?([^,]+),\s*([^,]+),\s*Philippines.*"", ""$1, $2""), ""\d+"", """")), """")"),"San Pedro, Laguna")</f>
        <v>San Pedro, Laguna</v>
      </c>
    </row>
    <row r="942">
      <c r="A942" s="1" t="s">
        <v>2682</v>
      </c>
      <c r="B942" s="1" t="s">
        <v>2683</v>
      </c>
      <c r="C942" s="1" t="s">
        <v>13</v>
      </c>
      <c r="D942" s="1">
        <v>14.3275408</v>
      </c>
      <c r="E942" s="1">
        <v>121.0195335</v>
      </c>
      <c r="F942" s="1" t="s">
        <v>2684</v>
      </c>
      <c r="G942" s="3" t="str">
        <f>IFERROR(__xludf.DUMMYFUNCTION("IF(REGEXMATCH(F942, ""(?:.*,\s*)?([^,]+),\s*([^,]+),\s*Philippines.*""), TRIM(REGEXREPLACE(REGEXREPLACE(F942, ""(?:.*,\s*)?([^,]+),\s*([^,]+),\s*Philippines.*"", ""$1, $2""), ""\d+"", """")), """")"),"San Pedro, Laguna")</f>
        <v>San Pedro, Laguna</v>
      </c>
    </row>
    <row r="943">
      <c r="A943" s="1" t="s">
        <v>2685</v>
      </c>
      <c r="B943" s="1" t="s">
        <v>2686</v>
      </c>
      <c r="C943" s="1" t="s">
        <v>13</v>
      </c>
      <c r="D943" s="1">
        <v>14.5775039</v>
      </c>
      <c r="E943" s="1">
        <v>121.1716449</v>
      </c>
      <c r="F943" s="1" t="s">
        <v>2687</v>
      </c>
      <c r="G943" s="3" t="str">
        <f>IFERROR(__xludf.DUMMYFUNCTION("IF(REGEXMATCH(F943, ""(?:.*,\s*)?([^,]+),\s*([^,]+),\s*Philippines.*""), TRIM(REGEXREPLACE(REGEXREPLACE(F943, ""(?:.*,\s*)?([^,]+),\s*([^,]+),\s*Philippines.*"", ""$1, $2""), ""\d+"", """")), """")"),"Antipolo, Rizal")</f>
        <v>Antipolo, Rizal</v>
      </c>
    </row>
    <row r="944">
      <c r="A944" s="1" t="s">
        <v>2688</v>
      </c>
      <c r="B944" s="1" t="s">
        <v>2689</v>
      </c>
      <c r="C944" s="1" t="s">
        <v>13</v>
      </c>
      <c r="D944" s="1">
        <v>13.6544744</v>
      </c>
      <c r="E944" s="1">
        <v>122.3334258</v>
      </c>
      <c r="F944" s="1" t="s">
        <v>2690</v>
      </c>
      <c r="G944" s="3" t="str">
        <f>IFERROR(__xludf.DUMMYFUNCTION("IF(REGEXMATCH(F944, ""(?:.*,\s*)?([^,]+),\s*([^,]+),\s*Philippines.*""), TRIM(REGEXREPLACE(REGEXREPLACE(F944, ""(?:.*,\s*)?([^,]+),\s*([^,]+),\s*Philippines.*"", ""$1, $2""), ""\d+"", """")), """")"),"Catanauan, Quezon")</f>
        <v>Catanauan, Quezon</v>
      </c>
    </row>
    <row r="945">
      <c r="A945" s="1" t="s">
        <v>2691</v>
      </c>
      <c r="B945" s="1" t="s">
        <v>2692</v>
      </c>
      <c r="C945" s="1" t="s">
        <v>766</v>
      </c>
      <c r="D945" s="1">
        <v>14.7671034</v>
      </c>
      <c r="E945" s="1">
        <v>121.0582971</v>
      </c>
      <c r="F945" s="1" t="s">
        <v>2693</v>
      </c>
      <c r="G945" s="3" t="str">
        <f>IFERROR(__xludf.DUMMYFUNCTION("IF(REGEXMATCH(F945, ""(?:.*,\s*)?([^,]+),\s*([^,]+),\s*Philippines.*""), TRIM(REGEXREPLACE(REGEXREPLACE(F945, ""(?:.*,\s*)?([^,]+),\s*([^,]+),\s*Philippines.*"", ""$1, $2""), ""\d+"", """")), """")"),"Caloocan, Metro Manila")</f>
        <v>Caloocan, Metro Manila</v>
      </c>
    </row>
    <row r="946">
      <c r="A946" s="1" t="s">
        <v>2694</v>
      </c>
      <c r="B946" s="1" t="s">
        <v>2695</v>
      </c>
      <c r="C946" s="1" t="s">
        <v>13</v>
      </c>
      <c r="D946" s="1">
        <v>13.94218</v>
      </c>
      <c r="E946" s="1">
        <v>122.3645949</v>
      </c>
      <c r="F946" s="1" t="s">
        <v>2696</v>
      </c>
      <c r="G946" s="3" t="str">
        <f>IFERROR(__xludf.DUMMYFUNCTION("IF(REGEXMATCH(F946, ""(?:.*,\s*)?([^,]+),\s*([^,]+),\s*Philippines.*""), TRIM(REGEXREPLACE(REGEXREPLACE(F946, ""(?:.*,\s*)?([^,]+),\s*([^,]+),\s*Philippines.*"", ""$1, $2""), ""\d+"", """")), """")"),"Calauag, Quezon")</f>
        <v>Calauag, Quezon</v>
      </c>
    </row>
    <row r="947">
      <c r="A947" s="1" t="s">
        <v>2697</v>
      </c>
      <c r="B947" s="1" t="s">
        <v>2698</v>
      </c>
      <c r="C947" s="1" t="s">
        <v>9</v>
      </c>
      <c r="D947" s="1">
        <v>14.2065266</v>
      </c>
      <c r="E947" s="1">
        <v>121.0852194</v>
      </c>
      <c r="F947" s="1" t="s">
        <v>2699</v>
      </c>
      <c r="G947" s="3" t="str">
        <f>IFERROR(__xludf.DUMMYFUNCTION("IF(REGEXMATCH(F947, ""(?:.*,\s*)?([^,]+),\s*([^,]+),\s*Philippines.*""), TRIM(REGEXREPLACE(REGEXREPLACE(F947, ""(?:.*,\s*)?([^,]+),\s*([^,]+),\s*Philippines.*"", ""$1, $2""), ""\d+"", """")), """")"),"Calamba, Laguna")</f>
        <v>Calamba, Laguna</v>
      </c>
    </row>
    <row r="948">
      <c r="A948" s="1" t="s">
        <v>2700</v>
      </c>
      <c r="B948" s="1" t="s">
        <v>2701</v>
      </c>
      <c r="C948" s="1" t="s">
        <v>13</v>
      </c>
      <c r="D948" s="1">
        <v>10.3616657</v>
      </c>
      <c r="E948" s="1">
        <v>119.1158017</v>
      </c>
      <c r="F948" s="1" t="s">
        <v>2702</v>
      </c>
      <c r="G948" s="3" t="str">
        <f>IFERROR(__xludf.DUMMYFUNCTION("IF(REGEXMATCH(F948, ""(?:.*,\s*)?([^,]+),\s*([^,]+),\s*Philippines.*""), TRIM(REGEXREPLACE(REGEXREPLACE(F948, ""(?:.*,\s*)?([^,]+),\s*([^,]+),\s*Philippines.*"", ""$1, $2""), ""\d+"", """")), """")"),"San Vicente, Palawan")</f>
        <v>San Vicente, Palawan</v>
      </c>
    </row>
    <row r="949">
      <c r="A949" s="1" t="s">
        <v>2703</v>
      </c>
      <c r="B949" s="1" t="s">
        <v>2704</v>
      </c>
      <c r="C949" s="1" t="s">
        <v>13</v>
      </c>
      <c r="D949" s="1">
        <v>13.6617281</v>
      </c>
      <c r="E949" s="1">
        <v>122.2483726</v>
      </c>
      <c r="F949" s="1" t="s">
        <v>2705</v>
      </c>
      <c r="G949" s="3" t="str">
        <f>IFERROR(__xludf.DUMMYFUNCTION("IF(REGEXMATCH(F949, ""(?:.*,\s*)?([^,]+),\s*([^,]+),\s*Philippines.*""), TRIM(REGEXREPLACE(REGEXREPLACE(F949, ""(?:.*,\s*)?([^,]+),\s*([^,]+),\s*Philippines.*"", ""$1, $2""), ""\d+"", """")), """")"),"Catanauan, Quezon")</f>
        <v>Catanauan, Quezon</v>
      </c>
    </row>
    <row r="950">
      <c r="A950" s="1" t="s">
        <v>2706</v>
      </c>
      <c r="B950" s="1" t="s">
        <v>2707</v>
      </c>
      <c r="C950" s="1" t="s">
        <v>13</v>
      </c>
      <c r="D950" s="1">
        <v>14.4949765</v>
      </c>
      <c r="E950" s="1">
        <v>120.9114075</v>
      </c>
      <c r="F950" s="1" t="s">
        <v>2708</v>
      </c>
      <c r="G950" s="3" t="str">
        <f>IFERROR(__xludf.DUMMYFUNCTION("IF(REGEXMATCH(F950, ""(?:.*,\s*)?([^,]+),\s*([^,]+),\s*Philippines.*""), TRIM(REGEXREPLACE(REGEXREPLACE(F950, ""(?:.*,\s*)?([^,]+),\s*([^,]+),\s*Philippines.*"", ""$1, $2""), ""\d+"", """")), """")"),"San Antonio, Cavite")</f>
        <v>San Antonio, Cavite</v>
      </c>
    </row>
    <row r="951">
      <c r="A951" s="1" t="s">
        <v>2709</v>
      </c>
      <c r="B951" s="1" t="s">
        <v>2710</v>
      </c>
      <c r="C951" s="1" t="s">
        <v>13</v>
      </c>
      <c r="D951" s="1">
        <v>13.9803965</v>
      </c>
      <c r="E951" s="1">
        <v>122.407568</v>
      </c>
      <c r="F951" s="1" t="s">
        <v>2711</v>
      </c>
      <c r="G951" s="3" t="str">
        <f>IFERROR(__xludf.DUMMYFUNCTION("IF(REGEXMATCH(F951, ""(?:.*,\s*)?([^,]+),\s*([^,]+),\s*Philippines.*""), TRIM(REGEXREPLACE(REGEXREPLACE(F951, ""(?:.*,\s*)?([^,]+),\s*([^,]+),\s*Philippines.*"", ""$1, $2""), ""\d+"", """")), """")"),"Tagkawayan, Quezon")</f>
        <v>Tagkawayan, Quezon</v>
      </c>
    </row>
    <row r="952">
      <c r="A952" s="1" t="s">
        <v>2712</v>
      </c>
      <c r="B952" s="1" t="s">
        <v>2713</v>
      </c>
      <c r="C952" s="1" t="s">
        <v>13</v>
      </c>
      <c r="D952" s="1">
        <v>14.2317843</v>
      </c>
      <c r="E952" s="1">
        <v>121.4027574</v>
      </c>
      <c r="F952" s="1" t="s">
        <v>2714</v>
      </c>
      <c r="G952" s="3" t="str">
        <f>IFERROR(__xludf.DUMMYFUNCTION("IF(REGEXMATCH(F952, ""(?:.*,\s*)?([^,]+),\s*([^,]+),\s*Philippines.*""), TRIM(REGEXREPLACE(REGEXREPLACE(F952, ""(?:.*,\s*)?([^,]+),\s*([^,]+),\s*Philippines.*"", ""$1, $2""), ""\d+"", """")), """")"),"Santa Cruz, Laguna")</f>
        <v>Santa Cruz, Laguna</v>
      </c>
    </row>
    <row r="953">
      <c r="A953" s="1" t="s">
        <v>2715</v>
      </c>
      <c r="B953" s="1" t="s">
        <v>2716</v>
      </c>
      <c r="C953" s="1" t="s">
        <v>13</v>
      </c>
      <c r="D953" s="1">
        <v>14.3165701</v>
      </c>
      <c r="E953" s="1">
        <v>121.1113075</v>
      </c>
      <c r="F953" s="1" t="s">
        <v>2717</v>
      </c>
      <c r="G953" s="3" t="str">
        <f>IFERROR(__xludf.DUMMYFUNCTION("IF(REGEXMATCH(F953, ""(?:.*,\s*)?([^,]+),\s*([^,]+),\s*Philippines.*""), TRIM(REGEXREPLACE(REGEXREPLACE(F953, ""(?:.*,\s*)?([^,]+),\s*([^,]+),\s*Philippines.*"", ""$1, $2""), ""\d+"", """")), """")"),"City of Santa Rosa, Laguna")</f>
        <v>City of Santa Rosa, Laguna</v>
      </c>
    </row>
    <row r="954">
      <c r="A954" s="1" t="s">
        <v>2718</v>
      </c>
      <c r="B954" s="1" t="s">
        <v>491</v>
      </c>
      <c r="C954" s="1" t="s">
        <v>13</v>
      </c>
      <c r="D954" s="1">
        <v>14.3450662</v>
      </c>
      <c r="E954" s="1">
        <v>120.906226</v>
      </c>
      <c r="F954" s="1" t="s">
        <v>2719</v>
      </c>
      <c r="G954" s="3" t="str">
        <f>IFERROR(__xludf.DUMMYFUNCTION("IF(REGEXMATCH(F954, ""(?:.*,\s*)?([^,]+),\s*([^,]+),\s*Philippines.*""), TRIM(REGEXREPLACE(REGEXREPLACE(F954, ""(?:.*,\s*)?([^,]+),\s*([^,]+),\s*Philippines.*"", ""$1, $2""), ""\d+"", """")), """")"),"General Trias, Cavite")</f>
        <v>General Trias, Cavite</v>
      </c>
    </row>
    <row r="955">
      <c r="A955" s="1" t="s">
        <v>2720</v>
      </c>
      <c r="B955" s="1" t="s">
        <v>2721</v>
      </c>
      <c r="C955" s="1" t="s">
        <v>9</v>
      </c>
      <c r="D955" s="1">
        <v>14.0475849</v>
      </c>
      <c r="E955" s="1">
        <v>121.161261</v>
      </c>
      <c r="F955" s="1" t="s">
        <v>1897</v>
      </c>
      <c r="G955" s="3" t="str">
        <f>IFERROR(__xludf.DUMMYFUNCTION("IF(REGEXMATCH(F955, ""(?:.*,\s*)?([^,]+),\s*([^,]+),\s*Philippines.*""), TRIM(REGEXREPLACE(REGEXREPLACE(F955, ""(?:.*,\s*)?([^,]+),\s*([^,]+),\s*Philippines.*"", ""$1, $2""), ""\d+"", """")), """")"),"Malvar, Batangas")</f>
        <v>Malvar, Batangas</v>
      </c>
    </row>
    <row r="956">
      <c r="A956" s="1" t="s">
        <v>2722</v>
      </c>
      <c r="B956" s="1" t="s">
        <v>2723</v>
      </c>
      <c r="C956" s="1" t="s">
        <v>13</v>
      </c>
      <c r="D956" s="1">
        <v>8.5436381</v>
      </c>
      <c r="E956" s="1">
        <v>123.4285179</v>
      </c>
      <c r="F956" s="1" t="s">
        <v>2724</v>
      </c>
      <c r="G956" s="3" t="str">
        <f>IFERROR(__xludf.DUMMYFUNCTION("IF(REGEXMATCH(F956, ""(?:.*,\s*)?([^,]+),\s*([^,]+),\s*Philippines.*""), TRIM(REGEXREPLACE(REGEXREPLACE(F956, ""(?:.*,\s*)?([^,]+),\s*([^,]+),\s*Philippines.*"", ""$1, $2""), ""\d+"", """")), """")"),"Dapitan City, Zamboanga del Norte")</f>
        <v>Dapitan City, Zamboanga del Norte</v>
      </c>
    </row>
    <row r="957">
      <c r="A957" s="1" t="s">
        <v>2725</v>
      </c>
      <c r="B957" s="1" t="s">
        <v>2726</v>
      </c>
      <c r="C957" s="1" t="s">
        <v>9</v>
      </c>
      <c r="D957" s="1">
        <v>14.0958344</v>
      </c>
      <c r="E957" s="1">
        <v>121.1147115</v>
      </c>
      <c r="F957" s="1" t="s">
        <v>2727</v>
      </c>
      <c r="G957" s="3" t="str">
        <f>IFERROR(__xludf.DUMMYFUNCTION("IF(REGEXMATCH(F957, ""(?:.*,\s*)?([^,]+),\s*([^,]+),\s*Philippines.*""), TRIM(REGEXREPLACE(REGEXREPLACE(F957, ""(?:.*,\s*)?([^,]+),\s*([^,]+),\s*Philippines.*"", ""$1, $2""), ""\d+"", """")), """")"),"Tanauan City, Batangas")</f>
        <v>Tanauan City, Batangas</v>
      </c>
    </row>
    <row r="958">
      <c r="A958" s="1" t="s">
        <v>2728</v>
      </c>
      <c r="B958" s="1" t="s">
        <v>2729</v>
      </c>
      <c r="C958" s="1" t="s">
        <v>766</v>
      </c>
      <c r="D958" s="1">
        <v>13.965148</v>
      </c>
      <c r="E958" s="1">
        <v>121.525831</v>
      </c>
      <c r="F958" s="1" t="s">
        <v>2730</v>
      </c>
      <c r="G958" s="3" t="str">
        <f>IFERROR(__xludf.DUMMYFUNCTION("IF(REGEXMATCH(F958, ""(?:.*,\s*)?([^,]+),\s*([^,]+),\s*Philippines.*""), TRIM(REGEXREPLACE(REGEXREPLACE(F958, ""(?:.*,\s*)?([^,]+),\s*([^,]+),\s*Philippines.*"", ""$1, $2""), ""\d+"", """")), """")"),"Sariaya, Quezon")</f>
        <v>Sariaya, Quezon</v>
      </c>
    </row>
    <row r="959">
      <c r="A959" s="1" t="s">
        <v>2731</v>
      </c>
      <c r="B959" s="1" t="s">
        <v>2732</v>
      </c>
      <c r="C959" s="1" t="s">
        <v>9</v>
      </c>
      <c r="D959" s="1">
        <v>14.6400936</v>
      </c>
      <c r="E959" s="1">
        <v>121.0431085</v>
      </c>
      <c r="F959" s="1" t="s">
        <v>2733</v>
      </c>
      <c r="G959" s="3" t="str">
        <f>IFERROR(__xludf.DUMMYFUNCTION("IF(REGEXMATCH(F959, ""(?:.*,\s*)?([^,]+),\s*([^,]+),\s*Philippines.*""), TRIM(REGEXREPLACE(REGEXREPLACE(F959, ""(?:.*,\s*)?([^,]+),\s*([^,]+),\s*Philippines.*"", ""$1, $2""), ""\d+"", """")), """")"),"Quezon City, Metro Manila")</f>
        <v>Quezon City, Metro Manila</v>
      </c>
    </row>
    <row r="960">
      <c r="A960" s="1" t="s">
        <v>2734</v>
      </c>
      <c r="B960" s="1" t="s">
        <v>2735</v>
      </c>
      <c r="C960" s="1" t="s">
        <v>13</v>
      </c>
      <c r="D960" s="1">
        <v>14.3991346</v>
      </c>
      <c r="E960" s="1">
        <v>120.8612215</v>
      </c>
      <c r="F960" s="1" t="s">
        <v>2736</v>
      </c>
      <c r="G960" s="3" t="str">
        <f>IFERROR(__xludf.DUMMYFUNCTION("IF(REGEXMATCH(F960, ""(?:.*,\s*)?([^,]+),\s*([^,]+),\s*Philippines.*""), TRIM(REGEXREPLACE(REGEXREPLACE(F960, ""(?:.*,\s*)?([^,]+),\s*([^,]+),\s*Philippines.*"", ""$1, $2""), ""\d+"", """")), """")"),"Rosario, Cavite")</f>
        <v>Rosario, Cavite</v>
      </c>
    </row>
    <row r="961">
      <c r="A961" s="1" t="s">
        <v>2737</v>
      </c>
      <c r="B961" s="1" t="s">
        <v>2738</v>
      </c>
      <c r="C961" s="1" t="s">
        <v>9</v>
      </c>
      <c r="D961" s="1">
        <v>14.4495566</v>
      </c>
      <c r="E961" s="1">
        <v>120.9360508</v>
      </c>
      <c r="F961" s="1" t="s">
        <v>2739</v>
      </c>
      <c r="G961" s="3" t="str">
        <f>IFERROR(__xludf.DUMMYFUNCTION("IF(REGEXMATCH(F961, ""(?:.*,\s*)?([^,]+),\s*([^,]+),\s*Philippines.*""), TRIM(REGEXREPLACE(REGEXREPLACE(F961, ""(?:.*,\s*)?([^,]+),\s*([^,]+),\s*Philippines.*"", ""$1, $2""), ""\d+"", """")), """")"),"Bacoor, Cavite")</f>
        <v>Bacoor, Cavite</v>
      </c>
    </row>
    <row r="962">
      <c r="A962" s="1" t="s">
        <v>2740</v>
      </c>
      <c r="B962" s="1" t="s">
        <v>2741</v>
      </c>
      <c r="C962" s="1" t="s">
        <v>9</v>
      </c>
      <c r="D962" s="1">
        <v>14.3358</v>
      </c>
      <c r="E962" s="1">
        <v>121.0313929</v>
      </c>
      <c r="F962" s="1" t="s">
        <v>2742</v>
      </c>
      <c r="G962" s="3" t="str">
        <f>IFERROR(__xludf.DUMMYFUNCTION("IF(REGEXMATCH(F962, ""(?:.*,\s*)?([^,]+),\s*([^,]+),\s*Philippines.*""), TRIM(REGEXREPLACE(REGEXREPLACE(F962, ""(?:.*,\s*)?([^,]+),\s*([^,]+),\s*Philippines.*"", ""$1, $2""), ""\d+"", """")), """")"),"San Pedro, Laguna")</f>
        <v>San Pedro, Laguna</v>
      </c>
    </row>
    <row r="963">
      <c r="A963" s="1" t="s">
        <v>2743</v>
      </c>
      <c r="B963" s="1" t="s">
        <v>491</v>
      </c>
      <c r="C963" s="1" t="s">
        <v>9</v>
      </c>
      <c r="D963" s="1">
        <v>13.7564054</v>
      </c>
      <c r="E963" s="1">
        <v>121.0583329</v>
      </c>
      <c r="F963" s="1" t="s">
        <v>1810</v>
      </c>
      <c r="G963" s="3" t="str">
        <f>IFERROR(__xludf.DUMMYFUNCTION("IF(REGEXMATCH(F963, ""(?:.*,\s*)?([^,]+),\s*([^,]+),\s*Philippines.*""), TRIM(REGEXREPLACE(REGEXREPLACE(F963, ""(?:.*,\s*)?([^,]+),\s*([^,]+),\s*Philippines.*"", ""$1, $2""), ""\d+"", """")), """")"),"Batangas City, Batangas")</f>
        <v>Batangas City, Batangas</v>
      </c>
    </row>
    <row r="964">
      <c r="A964" s="1" t="s">
        <v>2744</v>
      </c>
      <c r="B964" s="1" t="s">
        <v>2745</v>
      </c>
      <c r="C964" s="1" t="s">
        <v>9</v>
      </c>
      <c r="D964" s="1">
        <v>14.4074304</v>
      </c>
      <c r="E964" s="1">
        <v>120.9930338</v>
      </c>
      <c r="F964" s="1" t="s">
        <v>2746</v>
      </c>
      <c r="G964" s="3" t="str">
        <f>IFERROR(__xludf.DUMMYFUNCTION("IF(REGEXMATCH(F964, ""(?:.*,\s*)?([^,]+),\s*([^,]+),\s*Philippines.*""), TRIM(REGEXREPLACE(REGEXREPLACE(F964, ""(?:.*,\s*)?([^,]+),\s*([^,]+),\s*Philippines.*"", ""$1, $2""), ""\d+"", """")), """")"),"Bacoor, Cavite")</f>
        <v>Bacoor, Cavite</v>
      </c>
    </row>
    <row r="965">
      <c r="A965" s="1" t="s">
        <v>2747</v>
      </c>
      <c r="B965" s="1" t="s">
        <v>2748</v>
      </c>
      <c r="C965" s="1" t="s">
        <v>9</v>
      </c>
      <c r="D965" s="1">
        <v>14.4596441</v>
      </c>
      <c r="E965" s="1">
        <v>120.9436265</v>
      </c>
      <c r="F965" s="1" t="s">
        <v>2749</v>
      </c>
      <c r="G965" s="3" t="str">
        <f>IFERROR(__xludf.DUMMYFUNCTION("IF(REGEXMATCH(F965, ""(?:.*,\s*)?([^,]+),\s*([^,]+),\s*Philippines.*""), TRIM(REGEXREPLACE(REGEXREPLACE(F965, ""(?:.*,\s*)?([^,]+),\s*([^,]+),\s*Philippines.*"", ""$1, $2""), ""\d+"", """")), """")"),"Bacoor, Cavite")</f>
        <v>Bacoor, Cavite</v>
      </c>
    </row>
    <row r="966">
      <c r="A966" s="1" t="s">
        <v>2750</v>
      </c>
      <c r="B966" s="1" t="s">
        <v>2751</v>
      </c>
      <c r="C966" s="1" t="s">
        <v>9</v>
      </c>
      <c r="D966" s="1">
        <v>13.9639205</v>
      </c>
      <c r="E966" s="1">
        <v>120.6937809</v>
      </c>
      <c r="F966" s="1" t="s">
        <v>2752</v>
      </c>
      <c r="G966" s="3" t="str">
        <f>IFERROR(__xludf.DUMMYFUNCTION("IF(REGEXMATCH(F966, ""(?:.*,\s*)?([^,]+),\s*([^,]+),\s*Philippines.*""), TRIM(REGEXREPLACE(REGEXREPLACE(F966, ""(?:.*,\s*)?([^,]+),\s*([^,]+),\s*Philippines.*"", ""$1, $2""), ""\d+"", """")), """")"),"Balayan, Batangas")</f>
        <v>Balayan, Batangas</v>
      </c>
    </row>
    <row r="967">
      <c r="A967" s="1" t="s">
        <v>2753</v>
      </c>
      <c r="B967" s="1" t="s">
        <v>2754</v>
      </c>
      <c r="C967" s="1" t="s">
        <v>9</v>
      </c>
      <c r="D967" s="1">
        <v>16.7537529</v>
      </c>
      <c r="E967" s="1">
        <v>120.5048792</v>
      </c>
      <c r="F967" s="1" t="s">
        <v>2755</v>
      </c>
      <c r="G967" s="3" t="str">
        <f>IFERROR(__xludf.DUMMYFUNCTION("IF(REGEXMATCH(F967, ""(?:.*,\s*)?([^,]+),\s*([^,]+),\s*Philippines.*""), TRIM(REGEXREPLACE(REGEXREPLACE(F967, ""(?:.*,\s*)?([^,]+),\s*([^,]+),\s*Philippines.*"", ""$1, $2""), ""\d+"", """")), """")"),"Santol, La Union")</f>
        <v>Santol, La Union</v>
      </c>
    </row>
    <row r="968">
      <c r="A968" s="1" t="s">
        <v>2756</v>
      </c>
      <c r="B968" s="1" t="s">
        <v>2757</v>
      </c>
      <c r="C968" s="1" t="s">
        <v>9</v>
      </c>
      <c r="D968" s="1">
        <v>14.4592479</v>
      </c>
      <c r="E968" s="1">
        <v>120.9272117</v>
      </c>
      <c r="F968" s="1" t="s">
        <v>2758</v>
      </c>
      <c r="G968" s="3" t="str">
        <f>IFERROR(__xludf.DUMMYFUNCTION("IF(REGEXMATCH(F968, ""(?:.*,\s*)?([^,]+),\s*([^,]+),\s*Philippines.*""), TRIM(REGEXREPLACE(REGEXREPLACE(F968, ""(?:.*,\s*)?([^,]+),\s*([^,]+),\s*Philippines.*"", ""$1, $2""), ""\d+"", """")), """")"),"Bacoor, Cavite")</f>
        <v>Bacoor, Cavite</v>
      </c>
    </row>
    <row r="969">
      <c r="A969" s="1" t="s">
        <v>2759</v>
      </c>
      <c r="B969" s="1" t="s">
        <v>2760</v>
      </c>
      <c r="C969" s="1" t="s">
        <v>13</v>
      </c>
      <c r="D969" s="1">
        <v>13.8278295</v>
      </c>
      <c r="E969" s="1">
        <v>121.3730391</v>
      </c>
      <c r="F969" s="1" t="s">
        <v>2761</v>
      </c>
      <c r="G969" s="3" t="str">
        <f>IFERROR(__xludf.DUMMYFUNCTION("IF(REGEXMATCH(F969, ""(?:.*,\s*)?([^,]+),\s*([^,]+),\s*Philippines.*""), TRIM(REGEXREPLACE(REGEXREPLACE(F969, ""(?:.*,\s*)?([^,]+),\s*([^,]+),\s*Philippines.*"", ""$1, $2""), ""\d+"", """")), """")"),"San Juan, Batangas")</f>
        <v>San Juan, Batangas</v>
      </c>
    </row>
    <row r="970">
      <c r="A970" s="1" t="s">
        <v>2762</v>
      </c>
      <c r="B970" s="1" t="s">
        <v>2763</v>
      </c>
      <c r="C970" s="1" t="s">
        <v>13</v>
      </c>
      <c r="D970" s="1">
        <v>14.6567492</v>
      </c>
      <c r="E970" s="1">
        <v>121.1508317</v>
      </c>
      <c r="F970" s="1" t="s">
        <v>2764</v>
      </c>
      <c r="G970" s="3" t="str">
        <f>IFERROR(__xludf.DUMMYFUNCTION("IF(REGEXMATCH(F970, ""(?:.*,\s*)?([^,]+),\s*([^,]+),\s*Philippines.*""), TRIM(REGEXREPLACE(REGEXREPLACE(F970, ""(?:.*,\s*)?([^,]+),\s*([^,]+),\s*Philippines.*"", ""$1, $2""), ""\d+"", """")), """")"),"San Mateo, Rizal")</f>
        <v>San Mateo, Rizal</v>
      </c>
    </row>
    <row r="971">
      <c r="A971" s="1" t="s">
        <v>2765</v>
      </c>
      <c r="B971" s="1" t="s">
        <v>2766</v>
      </c>
      <c r="C971" s="1" t="s">
        <v>13</v>
      </c>
      <c r="D971" s="1">
        <v>13.9928444</v>
      </c>
      <c r="E971" s="1">
        <v>121.7936207</v>
      </c>
      <c r="F971" s="1" t="s">
        <v>2767</v>
      </c>
      <c r="G971" s="3" t="str">
        <f>IFERROR(__xludf.DUMMYFUNCTION("IF(REGEXMATCH(F971, ""(?:.*,\s*)?([^,]+),\s*([^,]+),\s*Philippines.*""), TRIM(REGEXREPLACE(REGEXREPLACE(F971, ""(?:.*,\s*)?([^,]+),\s*([^,]+),\s*Philippines.*"", ""$1, $2""), ""\d+"", """")), """")"),"Pagbilao, Quezon")</f>
        <v>Pagbilao, Quezon</v>
      </c>
    </row>
    <row r="972">
      <c r="A972" s="1" t="s">
        <v>2768</v>
      </c>
      <c r="B972" s="1" t="s">
        <v>2769</v>
      </c>
      <c r="C972" s="1" t="s">
        <v>13</v>
      </c>
      <c r="D972" s="1">
        <v>14.3301113</v>
      </c>
      <c r="E972" s="1">
        <v>121.1093404</v>
      </c>
      <c r="F972" s="1" t="s">
        <v>2770</v>
      </c>
      <c r="G972" s="3" t="str">
        <f>IFERROR(__xludf.DUMMYFUNCTION("IF(REGEXMATCH(F972, ""(?:.*,\s*)?([^,]+),\s*([^,]+),\s*Philippines.*""), TRIM(REGEXREPLACE(REGEXREPLACE(F972, ""(?:.*,\s*)?([^,]+),\s*([^,]+),\s*Philippines.*"", ""$1, $2""), ""\d+"", """")), """")"),"City of Santa Rosa, Laguna")</f>
        <v>City of Santa Rosa, Laguna</v>
      </c>
    </row>
    <row r="973">
      <c r="A973" s="1" t="s">
        <v>2771</v>
      </c>
      <c r="B973" s="1" t="s">
        <v>2772</v>
      </c>
      <c r="C973" s="1" t="s">
        <v>13</v>
      </c>
      <c r="D973" s="1">
        <v>14.2751718</v>
      </c>
      <c r="E973" s="1">
        <v>121.4192576</v>
      </c>
      <c r="F973" s="1" t="s">
        <v>2773</v>
      </c>
      <c r="G973" s="3" t="str">
        <f>IFERROR(__xludf.DUMMYFUNCTION("IF(REGEXMATCH(F973, ""(?:.*,\s*)?([^,]+),\s*([^,]+),\s*Philippines.*""), TRIM(REGEXREPLACE(REGEXREPLACE(F973, ""(?:.*,\s*)?([^,]+),\s*([^,]+),\s*Philippines.*"", ""$1, $2""), ""\d+"", """")), """")"),"Santa Cruz, Laguna")</f>
        <v>Santa Cruz, Laguna</v>
      </c>
    </row>
    <row r="974">
      <c r="A974" s="1" t="s">
        <v>2774</v>
      </c>
      <c r="B974" s="1" t="s">
        <v>2775</v>
      </c>
      <c r="C974" s="1" t="s">
        <v>13</v>
      </c>
      <c r="D974" s="1">
        <v>14.1977069</v>
      </c>
      <c r="E974" s="1">
        <v>121.095131</v>
      </c>
      <c r="F974" s="1" t="s">
        <v>2776</v>
      </c>
      <c r="G974" s="3" t="str">
        <f>IFERROR(__xludf.DUMMYFUNCTION("IF(REGEXMATCH(F974, ""(?:.*,\s*)?([^,]+),\s*([^,]+),\s*Philippines.*""), TRIM(REGEXREPLACE(REGEXREPLACE(F974, ""(?:.*,\s*)?([^,]+),\s*([^,]+),\s*Philippines.*"", ""$1, $2""), ""\d+"", """")), """")"),"Calamba, Laguna")</f>
        <v>Calamba, Laguna</v>
      </c>
    </row>
    <row r="975">
      <c r="A975" s="1" t="s">
        <v>2777</v>
      </c>
      <c r="B975" s="1" t="s">
        <v>2778</v>
      </c>
      <c r="C975" s="1" t="s">
        <v>13</v>
      </c>
      <c r="D975" s="1">
        <v>14.2602737</v>
      </c>
      <c r="E975" s="1">
        <v>120.9765236</v>
      </c>
      <c r="F975" s="1" t="s">
        <v>2779</v>
      </c>
      <c r="G975" s="3" t="str">
        <f>IFERROR(__xludf.DUMMYFUNCTION("IF(REGEXMATCH(F975, ""(?:.*,\s*)?([^,]+),\s*([^,]+),\s*Philippines.*""), TRIM(REGEXREPLACE(REGEXREPLACE(F975, ""(?:.*,\s*)?([^,]+),\s*([^,]+),\s*Philippines.*"", ""$1, $2""), ""\d+"", """")), """")"),"Silang, Cavite")</f>
        <v>Silang, Cavite</v>
      </c>
    </row>
    <row r="976">
      <c r="A976" s="1" t="s">
        <v>2780</v>
      </c>
      <c r="B976" s="1" t="s">
        <v>2781</v>
      </c>
      <c r="C976" s="1" t="s">
        <v>13</v>
      </c>
      <c r="D976" s="1">
        <v>14.2584405</v>
      </c>
      <c r="E976" s="1">
        <v>120.9668068</v>
      </c>
      <c r="F976" s="1" t="s">
        <v>2782</v>
      </c>
      <c r="G976" s="3" t="str">
        <f>IFERROR(__xludf.DUMMYFUNCTION("IF(REGEXMATCH(F976, ""(?:.*,\s*)?([^,]+),\s*([^,]+),\s*Philippines.*""), TRIM(REGEXREPLACE(REGEXREPLACE(F976, ""(?:.*,\s*)?([^,]+),\s*([^,]+),\s*Philippines.*"", ""$1, $2""), ""\d+"", """")), """")"),"Silang, Cavite")</f>
        <v>Silang, Cavite</v>
      </c>
    </row>
    <row r="977">
      <c r="A977" s="1" t="s">
        <v>2783</v>
      </c>
      <c r="B977" s="1" t="s">
        <v>2784</v>
      </c>
      <c r="C977" s="1" t="s">
        <v>9</v>
      </c>
      <c r="D977" s="1">
        <v>14.5830099</v>
      </c>
      <c r="E977" s="1">
        <v>121.1757436</v>
      </c>
      <c r="F977" s="1" t="s">
        <v>2785</v>
      </c>
      <c r="G977" s="3" t="str">
        <f>IFERROR(__xludf.DUMMYFUNCTION("IF(REGEXMATCH(F977, ""(?:.*,\s*)?([^,]+),\s*([^,]+),\s*Philippines.*""), TRIM(REGEXREPLACE(REGEXREPLACE(F977, ""(?:.*,\s*)?([^,]+),\s*([^,]+),\s*Philippines.*"", ""$1, $2""), ""\d+"", """")), """")"),"Antipolo, Rizal")</f>
        <v>Antipolo, Rizal</v>
      </c>
    </row>
    <row r="978">
      <c r="A978" s="1" t="s">
        <v>2786</v>
      </c>
      <c r="B978" s="1" t="s">
        <v>2787</v>
      </c>
      <c r="C978" s="1" t="s">
        <v>9</v>
      </c>
      <c r="D978" s="1">
        <v>14.2419555</v>
      </c>
      <c r="E978" s="1">
        <v>121.0436416</v>
      </c>
      <c r="F978" s="1" t="s">
        <v>2788</v>
      </c>
      <c r="G978" s="3" t="str">
        <f>IFERROR(__xludf.DUMMYFUNCTION("IF(REGEXMATCH(F978, ""(?:.*,\s*)?([^,]+),\s*([^,]+),\s*Philippines.*""), TRIM(REGEXREPLACE(REGEXREPLACE(F978, ""(?:.*,\s*)?([^,]+),\s*([^,]+),\s*Philippines.*"", ""$1, $2""), ""\d+"", """")), """")"),"Silang, Cavite")</f>
        <v>Silang, Cavite</v>
      </c>
    </row>
    <row r="979">
      <c r="A979" s="1" t="s">
        <v>2789</v>
      </c>
      <c r="B979" s="1" t="s">
        <v>2790</v>
      </c>
      <c r="C979" s="1" t="s">
        <v>9</v>
      </c>
      <c r="D979" s="1">
        <v>14.2682154</v>
      </c>
      <c r="E979" s="1">
        <v>121.4236242</v>
      </c>
      <c r="F979" s="1" t="s">
        <v>2791</v>
      </c>
      <c r="G979" s="3" t="str">
        <f>IFERROR(__xludf.DUMMYFUNCTION("IF(REGEXMATCH(F979, ""(?:.*,\s*)?([^,]+),\s*([^,]+),\s*Philippines.*""), TRIM(REGEXREPLACE(REGEXREPLACE(F979, ""(?:.*,\s*)?([^,]+),\s*([^,]+),\s*Philippines.*"", ""$1, $2""), ""\d+"", """")), """")"),"Santa Cruz, Laguna")</f>
        <v>Santa Cruz, Laguna</v>
      </c>
    </row>
    <row r="980">
      <c r="A980" s="1" t="s">
        <v>2792</v>
      </c>
      <c r="B980" s="1" t="s">
        <v>2793</v>
      </c>
      <c r="C980" s="1" t="s">
        <v>9</v>
      </c>
      <c r="D980" s="1">
        <v>14.4223545</v>
      </c>
      <c r="E980" s="1">
        <v>120.9233878</v>
      </c>
      <c r="F980" s="1" t="s">
        <v>2794</v>
      </c>
      <c r="G980" s="3" t="str">
        <f>IFERROR(__xludf.DUMMYFUNCTION("IF(REGEXMATCH(F980, ""(?:.*,\s*)?([^,]+),\s*([^,]+),\s*Philippines.*""), TRIM(REGEXREPLACE(REGEXREPLACE(F980, ""(?:.*,\s*)?([^,]+),\s*([^,]+),\s*Philippines.*"", ""$1, $2""), ""\d+"", """")), """")"),"Imus, Cavite")</f>
        <v>Imus, Cavite</v>
      </c>
    </row>
    <row r="981">
      <c r="A981" s="1" t="s">
        <v>2795</v>
      </c>
      <c r="B981" s="1" t="s">
        <v>2796</v>
      </c>
      <c r="C981" s="1" t="s">
        <v>13</v>
      </c>
      <c r="D981" s="1">
        <v>12.879721</v>
      </c>
      <c r="E981" s="1">
        <v>121.774017</v>
      </c>
      <c r="F981" s="1" t="s">
        <v>47</v>
      </c>
      <c r="G981" s="3" t="str">
        <f>IFERROR(__xludf.DUMMYFUNCTION("IF(REGEXMATCH(F981, ""(?:.*,\s*)?([^,]+),\s*([^,]+),\s*Philippines.*""), TRIM(REGEXREPLACE(REGEXREPLACE(F981, ""(?:.*,\s*)?([^,]+),\s*([^,]+),\s*Philippines.*"", ""$1, $2""), ""\d+"", """")), """")"),"")</f>
        <v/>
      </c>
    </row>
    <row r="982">
      <c r="A982" s="1" t="s">
        <v>2797</v>
      </c>
      <c r="B982" s="1" t="s">
        <v>2798</v>
      </c>
      <c r="C982" s="1" t="s">
        <v>13</v>
      </c>
      <c r="D982" s="1">
        <v>14.1119872</v>
      </c>
      <c r="E982" s="1">
        <v>121.5623585</v>
      </c>
      <c r="F982" s="1" t="s">
        <v>2799</v>
      </c>
      <c r="G982" s="3" t="str">
        <f>IFERROR(__xludf.DUMMYFUNCTION("IF(REGEXMATCH(F982, ""(?:.*,\s*)?([^,]+),\s*([^,]+),\s*Philippines.*""), TRIM(REGEXREPLACE(REGEXREPLACE(F982, ""(?:.*,\s*)?([^,]+),\s*([^,]+),\s*Philippines.*"", ""$1, $2""), ""\d+"", """")), """")"),"Lucban, Quezon")</f>
        <v>Lucban, Quezon</v>
      </c>
    </row>
    <row r="983">
      <c r="A983" s="1" t="s">
        <v>2800</v>
      </c>
      <c r="B983" s="1" t="s">
        <v>2801</v>
      </c>
      <c r="C983" s="1" t="s">
        <v>9</v>
      </c>
      <c r="D983" s="1">
        <v>14.4132598</v>
      </c>
      <c r="E983" s="1">
        <v>120.925555</v>
      </c>
      <c r="F983" s="1" t="s">
        <v>2802</v>
      </c>
      <c r="G983" s="3" t="str">
        <f>IFERROR(__xludf.DUMMYFUNCTION("IF(REGEXMATCH(F983, ""(?:.*,\s*)?([^,]+),\s*([^,]+),\s*Philippines.*""), TRIM(REGEXREPLACE(REGEXREPLACE(F983, ""(?:.*,\s*)?([^,]+),\s*([^,]+),\s*Philippines.*"", ""$1, $2""), ""\d+"", """")), """")"),"Imus, Cavite")</f>
        <v>Imus, Cavite</v>
      </c>
    </row>
    <row r="984">
      <c r="A984" s="1" t="s">
        <v>2803</v>
      </c>
      <c r="B984" s="1" t="s">
        <v>2804</v>
      </c>
      <c r="C984" s="1" t="s">
        <v>13</v>
      </c>
      <c r="D984" s="1">
        <v>14.2958913</v>
      </c>
      <c r="E984" s="1">
        <v>121.0588505</v>
      </c>
      <c r="F984" s="1" t="s">
        <v>2805</v>
      </c>
      <c r="G984" s="3" t="str">
        <f>IFERROR(__xludf.DUMMYFUNCTION("IF(REGEXMATCH(F984, ""(?:.*,\s*)?([^,]+),\s*([^,]+),\s*Philippines.*""), TRIM(REGEXREPLACE(REGEXREPLACE(F984, ""(?:.*,\s*)?([^,]+),\s*([^,]+),\s*Philippines.*"", ""$1, $2""), ""\d+"", """")), """")"),"Biñan, Laguna")</f>
        <v>Biñan, Laguna</v>
      </c>
    </row>
    <row r="985">
      <c r="A985" s="1" t="s">
        <v>2806</v>
      </c>
      <c r="B985" s="1" t="s">
        <v>2807</v>
      </c>
      <c r="C985" s="1" t="s">
        <v>9</v>
      </c>
      <c r="D985" s="1">
        <v>14.7482967</v>
      </c>
      <c r="E985" s="1">
        <v>121.1516972</v>
      </c>
      <c r="F985" s="1" t="s">
        <v>2808</v>
      </c>
      <c r="G985" s="3" t="str">
        <f>IFERROR(__xludf.DUMMYFUNCTION("IF(REGEXMATCH(F985, ""(?:.*,\s*)?([^,]+),\s*([^,]+),\s*Philippines.*""), TRIM(REGEXREPLACE(REGEXREPLACE(F985, ""(?:.*,\s*)?([^,]+),\s*([^,]+),\s*Philippines.*"", ""$1, $2""), ""\d+"", """")), """")"),"Rodriguez, Rizal")</f>
        <v>Rodriguez, Rizal</v>
      </c>
    </row>
    <row r="986">
      <c r="A986" s="1" t="s">
        <v>2809</v>
      </c>
      <c r="B986" s="1" t="s">
        <v>2810</v>
      </c>
      <c r="C986" s="1" t="s">
        <v>13</v>
      </c>
      <c r="D986" s="1">
        <v>12.879721</v>
      </c>
      <c r="E986" s="1">
        <v>121.774017</v>
      </c>
      <c r="F986" s="1" t="s">
        <v>47</v>
      </c>
      <c r="G986" s="3" t="str">
        <f>IFERROR(__xludf.DUMMYFUNCTION("IF(REGEXMATCH(F986, ""(?:.*,\s*)?([^,]+),\s*([^,]+),\s*Philippines.*""), TRIM(REGEXREPLACE(REGEXREPLACE(F986, ""(?:.*,\s*)?([^,]+),\s*([^,]+),\s*Philippines.*"", ""$1, $2""), ""\d+"", """")), """")"),"")</f>
        <v/>
      </c>
    </row>
    <row r="987">
      <c r="A987" s="1" t="s">
        <v>2811</v>
      </c>
      <c r="B987" s="1" t="s">
        <v>2812</v>
      </c>
      <c r="C987" s="1" t="s">
        <v>622</v>
      </c>
      <c r="D987" s="1">
        <v>12.879721</v>
      </c>
      <c r="E987" s="1">
        <v>121.774017</v>
      </c>
      <c r="F987" s="1" t="s">
        <v>47</v>
      </c>
      <c r="G987" s="3" t="str">
        <f>IFERROR(__xludf.DUMMYFUNCTION("IF(REGEXMATCH(F987, ""(?:.*,\s*)?([^,]+),\s*([^,]+),\s*Philippines.*""), TRIM(REGEXREPLACE(REGEXREPLACE(F987, ""(?:.*,\s*)?([^,]+),\s*([^,]+),\s*Philippines.*"", ""$1, $2""), ""\d+"", """")), """")"),"")</f>
        <v/>
      </c>
    </row>
    <row r="988">
      <c r="A988" s="1" t="s">
        <v>2813</v>
      </c>
      <c r="B988" s="1" t="s">
        <v>180</v>
      </c>
      <c r="C988" s="1" t="s">
        <v>9</v>
      </c>
      <c r="D988" s="1">
        <v>14.3355578</v>
      </c>
      <c r="E988" s="1">
        <v>121.0779269</v>
      </c>
      <c r="F988" s="1" t="s">
        <v>181</v>
      </c>
      <c r="G988" s="3" t="str">
        <f>IFERROR(__xludf.DUMMYFUNCTION("IF(REGEXMATCH(F988, ""(?:.*,\s*)?([^,]+),\s*([^,]+),\s*Philippines.*""), TRIM(REGEXREPLACE(REGEXREPLACE(F988, ""(?:.*,\s*)?([^,]+),\s*([^,]+),\s*Philippines.*"", ""$1, $2""), ""\d+"", """")), """")"),"Biñan, Laguna")</f>
        <v>Biñan, Laguna</v>
      </c>
    </row>
    <row r="989">
      <c r="A989" s="1" t="s">
        <v>2814</v>
      </c>
      <c r="B989" s="1" t="s">
        <v>2815</v>
      </c>
      <c r="C989" s="1" t="s">
        <v>9</v>
      </c>
      <c r="D989" s="1">
        <v>13.942108</v>
      </c>
      <c r="E989" s="1">
        <v>121.1538556</v>
      </c>
      <c r="F989" s="1" t="s">
        <v>2493</v>
      </c>
      <c r="G989" s="3" t="str">
        <f>IFERROR(__xludf.DUMMYFUNCTION("IF(REGEXMATCH(F989, ""(?:.*,\s*)?([^,]+),\s*([^,]+),\s*Philippines.*""), TRIM(REGEXREPLACE(REGEXREPLACE(F989, ""(?:.*,\s*)?([^,]+),\s*([^,]+),\s*Philippines.*"", ""$1, $2""), ""\d+"", """")), """")"),"Lipa City, Batangas")</f>
        <v>Lipa City, Batangas</v>
      </c>
    </row>
    <row r="990">
      <c r="A990" s="1" t="s">
        <v>2816</v>
      </c>
      <c r="B990" s="1" t="s">
        <v>2817</v>
      </c>
      <c r="C990" s="1" t="s">
        <v>9</v>
      </c>
      <c r="D990" s="1">
        <v>13.9366418</v>
      </c>
      <c r="E990" s="1">
        <v>121.6136017</v>
      </c>
      <c r="F990" s="1" t="s">
        <v>2818</v>
      </c>
      <c r="G990" s="3" t="str">
        <f>IFERROR(__xludf.DUMMYFUNCTION("IF(REGEXMATCH(F990, ""(?:.*,\s*)?([^,]+),\s*([^,]+),\s*Philippines.*""), TRIM(REGEXREPLACE(REGEXREPLACE(F990, ""(?:.*,\s*)?([^,]+),\s*([^,]+),\s*Philippines.*"", ""$1, $2""), ""\d+"", """")), """")"),"Lucena City, Quezon")</f>
        <v>Lucena City, Quezon</v>
      </c>
    </row>
    <row r="991">
      <c r="A991" s="1" t="s">
        <v>2819</v>
      </c>
      <c r="B991" s="1" t="s">
        <v>2820</v>
      </c>
      <c r="C991" s="1" t="s">
        <v>9</v>
      </c>
      <c r="D991" s="1">
        <v>14.2914868</v>
      </c>
      <c r="E991" s="1">
        <v>120.958642</v>
      </c>
      <c r="F991" s="1" t="s">
        <v>342</v>
      </c>
      <c r="G991" s="3" t="str">
        <f>IFERROR(__xludf.DUMMYFUNCTION("IF(REGEXMATCH(F991, ""(?:.*,\s*)?([^,]+),\s*([^,]+),\s*Philippines.*""), TRIM(REGEXREPLACE(REGEXREPLACE(F991, ""(?:.*,\s*)?([^,]+),\s*([^,]+),\s*Philippines.*"", ""$1, $2""), ""\d+"", """")), """")"),"Emilio Aguinaldo Hwy, Cavite")</f>
        <v>Emilio Aguinaldo Hwy, Cavite</v>
      </c>
    </row>
    <row r="992">
      <c r="A992" s="1" t="s">
        <v>2821</v>
      </c>
      <c r="B992" s="1" t="s">
        <v>2822</v>
      </c>
      <c r="C992" s="1" t="s">
        <v>13</v>
      </c>
      <c r="D992" s="1">
        <v>13.8763839</v>
      </c>
      <c r="E992" s="1">
        <v>120.9141892</v>
      </c>
      <c r="F992" s="1" t="s">
        <v>2435</v>
      </c>
      <c r="G992" s="3" t="str">
        <f>IFERROR(__xludf.DUMMYFUNCTION("IF(REGEXMATCH(F992, ""(?:.*,\s*)?([^,]+),\s*([^,]+),\s*Philippines.*""), TRIM(REGEXREPLACE(REGEXREPLACE(F992, ""(?:.*,\s*)?([^,]+),\s*([^,]+),\s*Philippines.*"", ""$1, $2""), ""\d+"", """")), """")"),"Lemery, Batangas")</f>
        <v>Lemery, Batangas</v>
      </c>
    </row>
    <row r="993">
      <c r="A993" s="1" t="s">
        <v>2823</v>
      </c>
      <c r="B993" s="1" t="s">
        <v>2824</v>
      </c>
      <c r="C993" s="1" t="s">
        <v>13</v>
      </c>
      <c r="D993" s="1">
        <v>13.8922808</v>
      </c>
      <c r="E993" s="1">
        <v>121.1166193</v>
      </c>
      <c r="F993" s="1" t="s">
        <v>2825</v>
      </c>
      <c r="G993" s="3" t="str">
        <f>IFERROR(__xludf.DUMMYFUNCTION("IF(REGEXMATCH(F993, ""(?:.*,\s*)?([^,]+),\s*([^,]+),\s*Philippines.*""), TRIM(REGEXREPLACE(REGEXREPLACE(F993, ""(?:.*,\s*)?([^,]+),\s*([^,]+),\s*Philippines.*"", ""$1, $2""), ""\d+"", """")), """")"),"San Jose, Batangas")</f>
        <v>San Jose, Batangas</v>
      </c>
    </row>
    <row r="994">
      <c r="A994" s="1" t="s">
        <v>2826</v>
      </c>
      <c r="B994" s="1" t="s">
        <v>43</v>
      </c>
      <c r="C994" s="1" t="s">
        <v>13</v>
      </c>
      <c r="D994" s="1">
        <v>14.0699377</v>
      </c>
      <c r="E994" s="1">
        <v>120.9382629</v>
      </c>
      <c r="F994" s="1" t="s">
        <v>2827</v>
      </c>
      <c r="G994" s="3" t="str">
        <f>IFERROR(__xludf.DUMMYFUNCTION("IF(REGEXMATCH(F994, ""(?:.*,\s*)?([^,]+),\s*([^,]+),\s*Philippines.*""), TRIM(REGEXREPLACE(REGEXREPLACE(F994, ""(?:.*,\s*)?([^,]+),\s*([^,]+),\s*Philippines.*"", ""$1, $2""), ""\d+"", """")), """")"),"Laurel, Batangas")</f>
        <v>Laurel, Batangas</v>
      </c>
    </row>
    <row r="995">
      <c r="A995" s="1" t="s">
        <v>2828</v>
      </c>
      <c r="B995" s="1" t="s">
        <v>2829</v>
      </c>
      <c r="C995" s="1" t="s">
        <v>9</v>
      </c>
      <c r="D995" s="1">
        <v>14.5149292</v>
      </c>
      <c r="E995" s="1">
        <v>121.1667435</v>
      </c>
      <c r="F995" s="1" t="s">
        <v>2830</v>
      </c>
      <c r="G995" s="3" t="str">
        <f>IFERROR(__xludf.DUMMYFUNCTION("IF(REGEXMATCH(F995, ""(?:.*,\s*)?([^,]+),\s*([^,]+),\s*Philippines.*""), TRIM(REGEXREPLACE(REGEXREPLACE(F995, ""(?:.*,\s*)?([^,]+),\s*([^,]+),\s*Philippines.*"", ""$1, $2""), ""\d+"", """")), """")"),"Binangonan, Rizal")</f>
        <v>Binangonan, Rizal</v>
      </c>
    </row>
    <row r="996">
      <c r="A996" s="1" t="s">
        <v>2831</v>
      </c>
      <c r="B996" s="1" t="s">
        <v>2832</v>
      </c>
      <c r="C996" s="1" t="s">
        <v>13</v>
      </c>
      <c r="D996" s="1">
        <v>13.818625</v>
      </c>
      <c r="E996" s="1">
        <v>121.1321243</v>
      </c>
      <c r="F996" s="1" t="s">
        <v>2833</v>
      </c>
      <c r="G996" s="3" t="str">
        <f>IFERROR(__xludf.DUMMYFUNCTION("IF(REGEXMATCH(F996, ""(?:.*,\s*)?([^,]+),\s*([^,]+),\s*Philippines.*""), TRIM(REGEXREPLACE(REGEXREPLACE(F996, ""(?:.*,\s*)?([^,]+),\s*([^,]+),\s*Philippines.*"", ""$1, $2""), ""\d+"", """")), """")"),"Ibaan, Batangas")</f>
        <v>Ibaan, Batangas</v>
      </c>
    </row>
    <row r="997">
      <c r="A997" s="1" t="s">
        <v>2834</v>
      </c>
      <c r="B997" s="1" t="s">
        <v>2835</v>
      </c>
      <c r="C997" s="1" t="s">
        <v>13</v>
      </c>
      <c r="D997" s="1">
        <v>14.3967326</v>
      </c>
      <c r="E997" s="1">
        <v>120.8999407</v>
      </c>
      <c r="F997" s="1" t="s">
        <v>2836</v>
      </c>
      <c r="G997" s="3" t="str">
        <f>IFERROR(__xludf.DUMMYFUNCTION("IF(REGEXMATCH(F997, ""(?:.*,\s*)?([^,]+),\s*([^,]+),\s*Philippines.*""), TRIM(REGEXREPLACE(REGEXREPLACE(F997, ""(?:.*,\s*)?([^,]+),\s*([^,]+),\s*Philippines.*"", ""$1, $2""), ""\d+"", """")), """")"),"General Trias, Cavite")</f>
        <v>General Trias, Cavite</v>
      </c>
    </row>
    <row r="998">
      <c r="A998" s="1" t="s">
        <v>2837</v>
      </c>
      <c r="B998" s="1" t="s">
        <v>2838</v>
      </c>
      <c r="C998" s="1" t="s">
        <v>13</v>
      </c>
      <c r="D998" s="1">
        <v>14.690926</v>
      </c>
      <c r="E998" s="1">
        <v>121.1232445</v>
      </c>
      <c r="F998" s="1" t="s">
        <v>2839</v>
      </c>
      <c r="G998" s="3" t="str">
        <f>IFERROR(__xludf.DUMMYFUNCTION("IF(REGEXMATCH(F998, ""(?:.*,\s*)?([^,]+),\s*([^,]+),\s*Philippines.*""), TRIM(REGEXREPLACE(REGEXREPLACE(F998, ""(?:.*,\s*)?([^,]+),\s*([^,]+),\s*Philippines.*"", ""$1, $2""), ""\d+"", """")), """")"),"San Mateo, Rizal")</f>
        <v>San Mateo, Rizal</v>
      </c>
    </row>
    <row r="999">
      <c r="A999" s="1" t="s">
        <v>2840</v>
      </c>
      <c r="B999" s="1" t="s">
        <v>2841</v>
      </c>
      <c r="C999" s="1" t="s">
        <v>9</v>
      </c>
      <c r="D999" s="1">
        <v>14.296318</v>
      </c>
      <c r="E999" s="1">
        <v>121.1055579</v>
      </c>
      <c r="F999" s="1" t="s">
        <v>2842</v>
      </c>
      <c r="G999" s="3" t="str">
        <f>IFERROR(__xludf.DUMMYFUNCTION("IF(REGEXMATCH(F999, ""(?:.*,\s*)?([^,]+),\s*([^,]+),\s*Philippines.*""), TRIM(REGEXREPLACE(REGEXREPLACE(F999, ""(?:.*,\s*)?([^,]+),\s*([^,]+),\s*Philippines.*"", ""$1, $2""), ""\d+"", """")), """")"),"City of Laguna, Laguna")</f>
        <v>City of Laguna, Laguna</v>
      </c>
    </row>
    <row r="1000">
      <c r="A1000" s="1" t="s">
        <v>2843</v>
      </c>
      <c r="B1000" s="1" t="s">
        <v>2844</v>
      </c>
      <c r="C1000" s="1" t="s">
        <v>9</v>
      </c>
      <c r="D1000" s="1">
        <v>14.2204469</v>
      </c>
      <c r="E1000" s="1">
        <v>121.1393586</v>
      </c>
      <c r="F1000" s="1" t="s">
        <v>2845</v>
      </c>
      <c r="G1000" s="3" t="str">
        <f>IFERROR(__xludf.DUMMYFUNCTION("IF(REGEXMATCH(F1000, ""(?:.*,\s*)?([^,]+),\s*([^,]+),\s*Philippines.*""), TRIM(REGEXREPLACE(REGEXREPLACE(F1000, ""(?:.*,\s*)?([^,]+),\s*([^,]+),\s*Philippines.*"", ""$1, $2""), ""\d+"", """")), """")"),"Calamba, Laguna")</f>
        <v>Calamba, Laguna</v>
      </c>
    </row>
    <row r="1001">
      <c r="A1001" s="1" t="s">
        <v>2846</v>
      </c>
      <c r="B1001" s="1" t="s">
        <v>2847</v>
      </c>
      <c r="C1001" s="1" t="s">
        <v>9</v>
      </c>
      <c r="D1001" s="1">
        <v>14.34087</v>
      </c>
      <c r="E1001" s="1">
        <v>121.0709281</v>
      </c>
      <c r="F1001" s="1" t="s">
        <v>2848</v>
      </c>
      <c r="G1001" s="3" t="str">
        <f>IFERROR(__xludf.DUMMYFUNCTION("IF(REGEXMATCH(F1001, ""(?:.*,\s*)?([^,]+),\s*([^,]+),\s*Philippines.*""), TRIM(REGEXREPLACE(REGEXREPLACE(F1001, ""(?:.*,\s*)?([^,]+),\s*([^,]+),\s*Philippines.*"", ""$1, $2""), ""\d+"", """")), """")"),"Biñan, Laguna")</f>
        <v>Biñan, Laguna</v>
      </c>
    </row>
    <row r="1002">
      <c r="A1002" s="1" t="s">
        <v>2849</v>
      </c>
      <c r="B1002" s="1" t="s">
        <v>2850</v>
      </c>
      <c r="C1002" s="1" t="s">
        <v>9</v>
      </c>
      <c r="D1002" s="1">
        <v>14.2204469</v>
      </c>
      <c r="E1002" s="1">
        <v>121.1393586</v>
      </c>
      <c r="F1002" s="1" t="s">
        <v>2845</v>
      </c>
      <c r="G1002" s="3" t="str">
        <f>IFERROR(__xludf.DUMMYFUNCTION("IF(REGEXMATCH(F1002, ""(?:.*,\s*)?([^,]+),\s*([^,]+),\s*Philippines.*""), TRIM(REGEXREPLACE(REGEXREPLACE(F1002, ""(?:.*,\s*)?([^,]+),\s*([^,]+),\s*Philippines.*"", ""$1, $2""), ""\d+"", """")), """")"),"Calamba, Laguna")</f>
        <v>Calamba, Laguna</v>
      </c>
    </row>
    <row r="1003">
      <c r="A1003" s="1" t="s">
        <v>2851</v>
      </c>
      <c r="B1003" s="1" t="s">
        <v>2852</v>
      </c>
      <c r="C1003" s="1" t="s">
        <v>9</v>
      </c>
      <c r="D1003" s="1">
        <v>14.296318</v>
      </c>
      <c r="E1003" s="1">
        <v>121.1055579</v>
      </c>
      <c r="F1003" s="1" t="s">
        <v>2853</v>
      </c>
      <c r="G1003" s="3" t="str">
        <f>IFERROR(__xludf.DUMMYFUNCTION("IF(REGEXMATCH(F1003, ""(?:.*,\s*)?([^,]+),\s*([^,]+),\s*Philippines.*""), TRIM(REGEXREPLACE(REGEXREPLACE(F1003, ""(?:.*,\s*)?([^,]+),\s*([^,]+),\s*Philippines.*"", ""$1, $2""), ""\d+"", """")), """")"),"City of Santa Rosa, Cavite")</f>
        <v>City of Santa Rosa, Cavite</v>
      </c>
    </row>
    <row r="1004">
      <c r="A1004" s="1" t="s">
        <v>2854</v>
      </c>
      <c r="B1004" s="1" t="s">
        <v>2855</v>
      </c>
      <c r="C1004" s="1" t="s">
        <v>9</v>
      </c>
      <c r="D1004" s="1">
        <v>14.2085227</v>
      </c>
      <c r="E1004" s="1">
        <v>121.1609716</v>
      </c>
      <c r="F1004" s="1" t="s">
        <v>2554</v>
      </c>
      <c r="G1004" s="3" t="str">
        <f>IFERROR(__xludf.DUMMYFUNCTION("IF(REGEXMATCH(F1004, ""(?:.*,\s*)?([^,]+),\s*([^,]+),\s*Philippines.*""), TRIM(REGEXREPLACE(REGEXREPLACE(F1004, ""(?:.*,\s*)?([^,]+),\s*([^,]+),\s*Philippines.*"", ""$1, $2""), ""\d+"", """")), """")"),"Calamba, Laguna")</f>
        <v>Calamba, Laguna</v>
      </c>
    </row>
    <row r="1005">
      <c r="A1005" s="1" t="s">
        <v>2856</v>
      </c>
      <c r="B1005" s="1" t="s">
        <v>2857</v>
      </c>
      <c r="C1005" s="1" t="s">
        <v>9</v>
      </c>
      <c r="D1005" s="1">
        <v>13.8785088</v>
      </c>
      <c r="E1005" s="1">
        <v>121.1034848</v>
      </c>
      <c r="F1005" s="1" t="s">
        <v>2540</v>
      </c>
      <c r="G1005" s="3" t="str">
        <f>IFERROR(__xludf.DUMMYFUNCTION("IF(REGEXMATCH(F1005, ""(?:.*,\s*)?([^,]+),\s*([^,]+),\s*Philippines.*""), TRIM(REGEXREPLACE(REGEXREPLACE(F1005, ""(?:.*,\s*)?([^,]+),\s*([^,]+),\s*Philippines.*"", ""$1, $2""), ""\d+"", """")), """")"),"San Jose, Batangas")</f>
        <v>San Jose, Batangas</v>
      </c>
    </row>
    <row r="1006">
      <c r="A1006" s="1" t="s">
        <v>2858</v>
      </c>
      <c r="B1006" s="1" t="s">
        <v>2859</v>
      </c>
      <c r="C1006" s="1" t="s">
        <v>9</v>
      </c>
      <c r="D1006" s="1">
        <v>15.0391368</v>
      </c>
      <c r="E1006" s="1">
        <v>120.6969578</v>
      </c>
      <c r="F1006" s="1" t="s">
        <v>154</v>
      </c>
      <c r="G1006" s="3" t="str">
        <f>IFERROR(__xludf.DUMMYFUNCTION("IF(REGEXMATCH(F1006, ""(?:.*,\s*)?([^,]+),\s*([^,]+),\s*Philippines.*""), TRIM(REGEXREPLACE(REGEXREPLACE(F1006, ""(?:.*,\s*)?([^,]+),\s*([^,]+),\s*Philippines.*"", ""$1, $2""), ""\d+"", """")), """")"),"San Fernando, Pampanga")</f>
        <v>San Fernando, Pampanga</v>
      </c>
    </row>
    <row r="1007">
      <c r="A1007" s="1" t="s">
        <v>2860</v>
      </c>
      <c r="B1007" s="1" t="s">
        <v>2861</v>
      </c>
      <c r="C1007" s="1" t="s">
        <v>13</v>
      </c>
      <c r="D1007" s="1">
        <v>12.879721</v>
      </c>
      <c r="E1007" s="1">
        <v>121.774017</v>
      </c>
      <c r="F1007" s="1" t="s">
        <v>47</v>
      </c>
      <c r="G1007" s="3" t="str">
        <f>IFERROR(__xludf.DUMMYFUNCTION("IF(REGEXMATCH(F1007, ""(?:.*,\s*)?([^,]+),\s*([^,]+),\s*Philippines.*""), TRIM(REGEXREPLACE(REGEXREPLACE(F1007, ""(?:.*,\s*)?([^,]+),\s*([^,]+),\s*Philippines.*"", ""$1, $2""), ""\d+"", """")), """")"),"")</f>
        <v/>
      </c>
    </row>
    <row r="1008">
      <c r="A1008" s="1" t="s">
        <v>2862</v>
      </c>
      <c r="B1008" s="1" t="s">
        <v>2863</v>
      </c>
      <c r="C1008" s="1" t="s">
        <v>9</v>
      </c>
      <c r="D1008" s="1">
        <v>14.3496214</v>
      </c>
      <c r="E1008" s="1">
        <v>120.9447591</v>
      </c>
      <c r="F1008" s="1" t="s">
        <v>2864</v>
      </c>
      <c r="G1008" s="3" t="str">
        <f>IFERROR(__xludf.DUMMYFUNCTION("IF(REGEXMATCH(F1008, ""(?:.*,\s*)?([^,]+),\s*([^,]+),\s*Philippines.*""), TRIM(REGEXREPLACE(REGEXREPLACE(F1008, ""(?:.*,\s*)?([^,]+),\s*([^,]+),\s*Philippines.*"", ""$1, $2""), ""\d+"", """")), """")"),"Dasmariñas, Cavite")</f>
        <v>Dasmariñas, Cavite</v>
      </c>
    </row>
    <row r="1009">
      <c r="A1009" s="1" t="s">
        <v>2865</v>
      </c>
      <c r="B1009" s="1" t="s">
        <v>2866</v>
      </c>
      <c r="C1009" s="1" t="s">
        <v>13</v>
      </c>
      <c r="D1009" s="1">
        <v>10.6045773</v>
      </c>
      <c r="E1009" s="1">
        <v>122.6842498</v>
      </c>
      <c r="F1009" s="1" t="s">
        <v>2867</v>
      </c>
      <c r="G1009" s="3" t="str">
        <f>IFERROR(__xludf.DUMMYFUNCTION("IF(REGEXMATCH(F1009, ""(?:.*,\s*)?([^,]+),\s*([^,]+),\s*Philippines.*""), TRIM(REGEXREPLACE(REGEXREPLACE(F1009, ""(?:.*,\s*)?([^,]+),\s*([^,]+),\s*Philippines.*"", ""$1, $2""), ""\d+"", """")), """")"),"San Lorenzo, Guimaras")</f>
        <v>San Lorenzo, Guimaras</v>
      </c>
    </row>
    <row r="1010">
      <c r="A1010" s="1" t="s">
        <v>2868</v>
      </c>
      <c r="B1010" s="1" t="s">
        <v>2869</v>
      </c>
      <c r="C1010" s="1" t="s">
        <v>9</v>
      </c>
      <c r="D1010" s="1">
        <v>14.3547315</v>
      </c>
      <c r="E1010" s="1">
        <v>121.0615048</v>
      </c>
      <c r="F1010" s="1" t="s">
        <v>2870</v>
      </c>
      <c r="G1010" s="3" t="str">
        <f>IFERROR(__xludf.DUMMYFUNCTION("IF(REGEXMATCH(F1010, ""(?:.*,\s*)?([^,]+),\s*([^,]+),\s*Philippines.*""), TRIM(REGEXREPLACE(REGEXREPLACE(F1010, ""(?:.*,\s*)?([^,]+),\s*([^,]+),\s*Philippines.*"", ""$1, $2""), ""\d+"", """")), """")"),"San Pedro, Laguna")</f>
        <v>San Pedro, Laguna</v>
      </c>
    </row>
    <row r="1011">
      <c r="A1011" s="1" t="s">
        <v>2871</v>
      </c>
      <c r="B1011" s="1" t="s">
        <v>2872</v>
      </c>
      <c r="C1011" s="1" t="s">
        <v>9</v>
      </c>
      <c r="D1011" s="1">
        <v>14.2313922</v>
      </c>
      <c r="E1011" s="1">
        <v>121.171633</v>
      </c>
      <c r="F1011" s="1" t="s">
        <v>2873</v>
      </c>
      <c r="G1011" s="3" t="str">
        <f>IFERROR(__xludf.DUMMYFUNCTION("IF(REGEXMATCH(F1011, ""(?:.*,\s*)?([^,]+),\s*([^,]+),\s*Philippines.*""), TRIM(REGEXREPLACE(REGEXREPLACE(F1011, ""(?:.*,\s*)?([^,]+),\s*([^,]+),\s*Philippines.*"", ""$1, $2""), ""\d+"", """")), """")"),"Calamba, Laguna")</f>
        <v>Calamba, Laguna</v>
      </c>
    </row>
    <row r="1012">
      <c r="A1012" s="1" t="s">
        <v>2874</v>
      </c>
      <c r="B1012" s="1" t="s">
        <v>2875</v>
      </c>
      <c r="C1012" s="1" t="s">
        <v>13</v>
      </c>
      <c r="D1012" s="1">
        <v>14.2313922</v>
      </c>
      <c r="E1012" s="1">
        <v>121.171633</v>
      </c>
      <c r="F1012" s="1" t="s">
        <v>2873</v>
      </c>
      <c r="G1012" s="3" t="str">
        <f>IFERROR(__xludf.DUMMYFUNCTION("IF(REGEXMATCH(F1012, ""(?:.*,\s*)?([^,]+),\s*([^,]+),\s*Philippines.*""), TRIM(REGEXREPLACE(REGEXREPLACE(F1012, ""(?:.*,\s*)?([^,]+),\s*([^,]+),\s*Philippines.*"", ""$1, $2""), ""\d+"", """")), """")"),"Calamba, Laguna")</f>
        <v>Calamba, Laguna</v>
      </c>
    </row>
    <row r="1013">
      <c r="A1013" s="1" t="s">
        <v>2876</v>
      </c>
      <c r="B1013" s="1" t="s">
        <v>2877</v>
      </c>
      <c r="C1013" s="1" t="s">
        <v>13</v>
      </c>
      <c r="D1013" s="1">
        <v>14.1367907</v>
      </c>
      <c r="E1013" s="1">
        <v>121.4177854</v>
      </c>
      <c r="F1013" s="1" t="s">
        <v>2878</v>
      </c>
      <c r="G1013" s="3" t="str">
        <f>IFERROR(__xludf.DUMMYFUNCTION("IF(REGEXMATCH(F1013, ""(?:.*,\s*)?([^,]+),\s*([^,]+),\s*Philippines.*""), TRIM(REGEXREPLACE(REGEXREPLACE(F1013, ""(?:.*,\s*)?([^,]+),\s*([^,]+),\s*Philippines.*"", ""$1, $2""), ""\d+"", """")), """")"),"Nagcarlan, Laguna")</f>
        <v>Nagcarlan, Laguna</v>
      </c>
    </row>
    <row r="1014">
      <c r="A1014" s="1" t="s">
        <v>2879</v>
      </c>
      <c r="B1014" s="1" t="s">
        <v>2880</v>
      </c>
      <c r="C1014" s="1" t="s">
        <v>9</v>
      </c>
      <c r="D1014" s="1">
        <v>13.9370368</v>
      </c>
      <c r="E1014" s="1">
        <v>121.6141513</v>
      </c>
      <c r="F1014" s="1" t="s">
        <v>2881</v>
      </c>
      <c r="G1014" s="3" t="str">
        <f>IFERROR(__xludf.DUMMYFUNCTION("IF(REGEXMATCH(F1014, ""(?:.*,\s*)?([^,]+),\s*([^,]+),\s*Philippines.*""), TRIM(REGEXREPLACE(REGEXREPLACE(F1014, ""(?:.*,\s*)?([^,]+),\s*([^,]+),\s*Philippines.*"", ""$1, $2""), ""\d+"", """")), """")"),"Lucena City, Quezon")</f>
        <v>Lucena City, Quezon</v>
      </c>
    </row>
    <row r="1015">
      <c r="A1015" s="1" t="s">
        <v>2882</v>
      </c>
      <c r="B1015" s="1" t="s">
        <v>2883</v>
      </c>
      <c r="C1015" s="1" t="s">
        <v>9</v>
      </c>
      <c r="D1015" s="1">
        <v>13.9349828</v>
      </c>
      <c r="E1015" s="1">
        <v>121.6140879</v>
      </c>
      <c r="F1015" s="1" t="s">
        <v>2884</v>
      </c>
      <c r="G1015" s="3" t="str">
        <f>IFERROR(__xludf.DUMMYFUNCTION("IF(REGEXMATCH(F1015, ""(?:.*,\s*)?([^,]+),\s*([^,]+),\s*Philippines.*""), TRIM(REGEXREPLACE(REGEXREPLACE(F1015, ""(?:.*,\s*)?([^,]+),\s*([^,]+),\s*Philippines.*"", ""$1, $2""), ""\d+"", """")), """")"),"Lucena City, Quezon")</f>
        <v>Lucena City, Quezon</v>
      </c>
    </row>
    <row r="1016">
      <c r="A1016" s="1" t="s">
        <v>2885</v>
      </c>
      <c r="B1016" s="1" t="s">
        <v>2886</v>
      </c>
      <c r="C1016" s="1" t="s">
        <v>9</v>
      </c>
      <c r="D1016" s="1">
        <v>14.4547557</v>
      </c>
      <c r="E1016" s="1">
        <v>120.9297714</v>
      </c>
      <c r="F1016" s="1" t="s">
        <v>2887</v>
      </c>
      <c r="G1016" s="3" t="str">
        <f>IFERROR(__xludf.DUMMYFUNCTION("IF(REGEXMATCH(F1016, ""(?:.*,\s*)?([^,]+),\s*([^,]+),\s*Philippines.*""), TRIM(REGEXREPLACE(REGEXREPLACE(F1016, ""(?:.*,\s*)?([^,]+),\s*([^,]+),\s*Philippines.*"", ""$1, $2""), ""\d+"", """")), """")"),"Bacoor, Cavite")</f>
        <v>Bacoor, Cavite</v>
      </c>
    </row>
    <row r="1017">
      <c r="A1017" s="1" t="s">
        <v>2888</v>
      </c>
      <c r="B1017" s="1" t="s">
        <v>2889</v>
      </c>
      <c r="C1017" s="1" t="s">
        <v>9</v>
      </c>
      <c r="D1017" s="1">
        <v>14.0738492</v>
      </c>
      <c r="E1017" s="1">
        <v>121.3353437</v>
      </c>
      <c r="F1017" s="1" t="s">
        <v>2890</v>
      </c>
      <c r="G1017" s="3" t="str">
        <f>IFERROR(__xludf.DUMMYFUNCTION("IF(REGEXMATCH(F1017, ""(?:.*,\s*)?([^,]+),\s*([^,]+),\s*Philippines.*""), TRIM(REGEXREPLACE(REGEXREPLACE(F1017, ""(?:.*,\s*)?([^,]+),\s*([^,]+),\s*Philippines.*"", ""$1, $2""), ""\d+"", """")), """")"),"San Pablo City, Laguna")</f>
        <v>San Pablo City, Laguna</v>
      </c>
    </row>
    <row r="1018">
      <c r="A1018" s="1" t="s">
        <v>2891</v>
      </c>
      <c r="B1018" s="1" t="s">
        <v>2892</v>
      </c>
      <c r="C1018" s="1" t="s">
        <v>13</v>
      </c>
      <c r="D1018" s="1">
        <v>14.6630822</v>
      </c>
      <c r="E1018" s="1">
        <v>121.6041411</v>
      </c>
      <c r="F1018" s="1" t="s">
        <v>2893</v>
      </c>
      <c r="G1018" s="3" t="str">
        <f>IFERROR(__xludf.DUMMYFUNCTION("IF(REGEXMATCH(F1018, ""(?:.*,\s*)?([^,]+),\s*([^,]+),\s*Philippines.*""), TRIM(REGEXREPLACE(REGEXREPLACE(F1018, ""(?:.*,\s*)?([^,]+),\s*([^,]+),\s*Philippines.*"", ""$1, $2""), ""\d+"", """")), """")"),"Real, Quezon")</f>
        <v>Real, Quezon</v>
      </c>
    </row>
    <row r="1019">
      <c r="A1019" s="1" t="s">
        <v>2894</v>
      </c>
      <c r="B1019" s="1" t="s">
        <v>2895</v>
      </c>
      <c r="C1019" s="1" t="s">
        <v>9</v>
      </c>
      <c r="D1019" s="1">
        <v>14.2047396</v>
      </c>
      <c r="E1019" s="1">
        <v>121.1550445</v>
      </c>
      <c r="F1019" s="1" t="s">
        <v>2896</v>
      </c>
      <c r="G1019" s="3" t="str">
        <f>IFERROR(__xludf.DUMMYFUNCTION("IF(REGEXMATCH(F1019, ""(?:.*,\s*)?([^,]+),\s*([^,]+),\s*Philippines.*""), TRIM(REGEXREPLACE(REGEXREPLACE(F1019, ""(?:.*,\s*)?([^,]+),\s*([^,]+),\s*Philippines.*"", ""$1, $2""), ""\d+"", """")), """")"),"Calamba, Laguna")</f>
        <v>Calamba, Laguna</v>
      </c>
    </row>
    <row r="1020">
      <c r="A1020" s="1" t="s">
        <v>2897</v>
      </c>
      <c r="B1020" s="1" t="s">
        <v>2898</v>
      </c>
      <c r="C1020" s="1" t="s">
        <v>9</v>
      </c>
      <c r="D1020" s="1">
        <v>14.2329783</v>
      </c>
      <c r="E1020" s="1">
        <v>121.3676204</v>
      </c>
      <c r="F1020" s="1" t="s">
        <v>2899</v>
      </c>
      <c r="G1020" s="3" t="str">
        <f>IFERROR(__xludf.DUMMYFUNCTION("IF(REGEXMATCH(F1020, ""(?:.*,\s*)?([^,]+),\s*([^,]+),\s*Philippines.*""), TRIM(REGEXREPLACE(REGEXREPLACE(F1020, ""(?:.*,\s*)?([^,]+),\s*([^,]+),\s*Philippines.*"", ""$1, $2""), ""\d+"", """")), """")"),"Pila, Laguna")</f>
        <v>Pila, Laguna</v>
      </c>
    </row>
    <row r="1021">
      <c r="A1021" s="1" t="s">
        <v>2900</v>
      </c>
      <c r="B1021" s="1" t="s">
        <v>2901</v>
      </c>
      <c r="C1021" s="1" t="s">
        <v>13</v>
      </c>
      <c r="D1021" s="1">
        <v>18.3309448</v>
      </c>
      <c r="E1021" s="1">
        <v>120.6149556</v>
      </c>
      <c r="F1021" s="1" t="s">
        <v>2902</v>
      </c>
      <c r="G1021" s="3" t="str">
        <f>IFERROR(__xludf.DUMMYFUNCTION("IF(REGEXMATCH(F1021, ""(?:.*,\s*)?([^,]+),\s*([^,]+),\s*Philippines.*""), TRIM(REGEXREPLACE(REGEXREPLACE(F1021, ""(?:.*,\s*)?([^,]+),\s*([^,]+),\s*Philippines.*"", ""$1, $2""), ""\d+"", """")), """")"),"Pasuquin, Ilocos Norte")</f>
        <v>Pasuquin, Ilocos Norte</v>
      </c>
    </row>
    <row r="1022">
      <c r="A1022" s="1" t="s">
        <v>2903</v>
      </c>
      <c r="B1022" s="1" t="s">
        <v>2904</v>
      </c>
      <c r="C1022" s="1" t="s">
        <v>9</v>
      </c>
      <c r="D1022" s="1">
        <v>12.879721</v>
      </c>
      <c r="E1022" s="1">
        <v>121.774017</v>
      </c>
      <c r="F1022" s="1" t="s">
        <v>47</v>
      </c>
      <c r="G1022" s="3" t="str">
        <f>IFERROR(__xludf.DUMMYFUNCTION("IF(REGEXMATCH(F1022, ""(?:.*,\s*)?([^,]+),\s*([^,]+),\s*Philippines.*""), TRIM(REGEXREPLACE(REGEXREPLACE(F1022, ""(?:.*,\s*)?([^,]+),\s*([^,]+),\s*Philippines.*"", ""$1, $2""), ""\d+"", """")), """")"),"")</f>
        <v/>
      </c>
    </row>
    <row r="1023">
      <c r="A1023" s="1" t="s">
        <v>2905</v>
      </c>
      <c r="B1023" s="1" t="s">
        <v>2906</v>
      </c>
      <c r="C1023" s="1" t="s">
        <v>9</v>
      </c>
      <c r="D1023" s="1">
        <v>14.2328407</v>
      </c>
      <c r="E1023" s="1">
        <v>121.1484987</v>
      </c>
      <c r="F1023" s="1" t="s">
        <v>2907</v>
      </c>
      <c r="G1023" s="3" t="str">
        <f>IFERROR(__xludf.DUMMYFUNCTION("IF(REGEXMATCH(F1023, ""(?:.*,\s*)?([^,]+),\s*([^,]+),\s*Philippines.*""), TRIM(REGEXREPLACE(REGEXREPLACE(F1023, ""(?:.*,\s*)?([^,]+),\s*([^,]+),\s*Philippines.*"", ""$1, $2""), ""\d+"", """")), """")"),"Cabuyao City, Laguna")</f>
        <v>Cabuyao City, Laguna</v>
      </c>
    </row>
    <row r="1024">
      <c r="A1024" s="1" t="s">
        <v>2908</v>
      </c>
      <c r="B1024" s="1" t="s">
        <v>2909</v>
      </c>
      <c r="C1024" s="1" t="s">
        <v>9</v>
      </c>
      <c r="D1024" s="1">
        <v>16.0893669</v>
      </c>
      <c r="E1024" s="1">
        <v>120.6142365</v>
      </c>
      <c r="F1024" s="1" t="s">
        <v>2910</v>
      </c>
      <c r="G1024" s="3" t="str">
        <f>IFERROR(__xludf.DUMMYFUNCTION("IF(REGEXMATCH(F1024, ""(?:.*,\s*)?([^,]+),\s*([^,]+),\s*Philippines.*""), TRIM(REGEXREPLACE(REGEXREPLACE(F1024, ""(?:.*,\s*)?([^,]+),\s*([^,]+),\s*Philippines.*"", ""$1, $2""), ""\d+"", """")), """")"),"Binalonan, Pangasinan")</f>
        <v>Binalonan, Pangasinan</v>
      </c>
    </row>
    <row r="1025">
      <c r="A1025" s="1" t="s">
        <v>2911</v>
      </c>
      <c r="B1025" s="1" t="s">
        <v>2912</v>
      </c>
      <c r="C1025" s="1" t="s">
        <v>13</v>
      </c>
      <c r="D1025" s="1">
        <v>14.1422051</v>
      </c>
      <c r="E1025" s="1">
        <v>121.4700442</v>
      </c>
      <c r="F1025" s="1" t="s">
        <v>2913</v>
      </c>
      <c r="G1025" s="3" t="str">
        <f>IFERROR(__xludf.DUMMYFUNCTION("IF(REGEXMATCH(F1025, ""(?:.*,\s*)?([^,]+),\s*([^,]+),\s*Philippines.*""), TRIM(REGEXREPLACE(REGEXREPLACE(F1025, ""(?:.*,\s*)?([^,]+),\s*([^,]+),\s*Philippines.*"", ""$1, $2""), ""\d+"", """")), """")"),"Majayjay, Laguna")</f>
        <v>Majayjay, Laguna</v>
      </c>
    </row>
    <row r="1026">
      <c r="A1026" s="1" t="s">
        <v>2914</v>
      </c>
      <c r="B1026" s="1" t="s">
        <v>2915</v>
      </c>
      <c r="C1026" s="1" t="s">
        <v>13</v>
      </c>
      <c r="D1026" s="1">
        <v>13.8740768</v>
      </c>
      <c r="E1026" s="1">
        <v>121.4300828</v>
      </c>
      <c r="F1026" s="1" t="s">
        <v>2916</v>
      </c>
      <c r="G1026" s="3" t="str">
        <f>IFERROR(__xludf.DUMMYFUNCTION("IF(REGEXMATCH(F1026, ""(?:.*,\s*)?([^,]+),\s*([^,]+),\s*Philippines.*""), TRIM(REGEXREPLACE(REGEXREPLACE(F1026, ""(?:.*,\s*)?([^,]+),\s*([^,]+),\s*Philippines.*"", ""$1, $2""), ""\d+"", """")), """")"),"Candelaria, Quezon")</f>
        <v>Candelaria, Quezon</v>
      </c>
    </row>
    <row r="1027">
      <c r="A1027" s="1" t="s">
        <v>2917</v>
      </c>
      <c r="B1027" s="1" t="s">
        <v>2918</v>
      </c>
      <c r="C1027" s="1" t="s">
        <v>13</v>
      </c>
      <c r="D1027" s="1">
        <v>14.0240989</v>
      </c>
      <c r="E1027" s="1">
        <v>121.2038933</v>
      </c>
      <c r="F1027" s="1" t="s">
        <v>2919</v>
      </c>
      <c r="G1027" s="3" t="str">
        <f>IFERROR(__xludf.DUMMYFUNCTION("IF(REGEXMATCH(F1027, ""(?:.*,\s*)?([^,]+),\s*([^,]+),\s*Philippines.*""), TRIM(REGEXREPLACE(REGEXREPLACE(F1027, ""(?:.*,\s*)?([^,]+),\s*([^,]+),\s*Philippines.*"", ""$1, $2""), ""\d+"", """")), """")"),"Santo Tomas, Batangas")</f>
        <v>Santo Tomas, Batangas</v>
      </c>
    </row>
    <row r="1028">
      <c r="A1028" s="1" t="s">
        <v>2920</v>
      </c>
      <c r="B1028" s="1" t="s">
        <v>2921</v>
      </c>
      <c r="C1028" s="1" t="s">
        <v>13</v>
      </c>
      <c r="D1028" s="1">
        <v>14.9049418</v>
      </c>
      <c r="E1028" s="1">
        <v>120.5574768</v>
      </c>
      <c r="F1028" s="1" t="s">
        <v>2922</v>
      </c>
      <c r="G1028" s="3" t="str">
        <f>IFERROR(__xludf.DUMMYFUNCTION("IF(REGEXMATCH(F1028, ""(?:.*,\s*)?([^,]+),\s*([^,]+),\s*Philippines.*""), TRIM(REGEXREPLACE(REGEXREPLACE(F1028, ""(?:.*,\s*)?([^,]+),\s*([^,]+),\s*Philippines.*"", ""$1, $2""), ""\d+"", """")), """")"),"Lubao, Pampanga")</f>
        <v>Lubao, Pampanga</v>
      </c>
    </row>
    <row r="1029">
      <c r="A1029" s="1" t="s">
        <v>2923</v>
      </c>
      <c r="B1029" s="1" t="s">
        <v>2924</v>
      </c>
      <c r="C1029" s="1" t="s">
        <v>13</v>
      </c>
      <c r="D1029" s="1">
        <v>15.5664881</v>
      </c>
      <c r="E1029" s="1">
        <v>120.490967</v>
      </c>
      <c r="F1029" s="1" t="s">
        <v>2925</v>
      </c>
      <c r="G1029" s="3" t="str">
        <f>IFERROR(__xludf.DUMMYFUNCTION("IF(REGEXMATCH(F1029, ""(?:.*,\s*)?([^,]+),\s*([^,]+),\s*Philippines.*""), TRIM(REGEXREPLACE(REGEXREPLACE(F1029, ""(?:.*,\s*)?([^,]+),\s*([^,]+),\s*Philippines.*"", ""$1, $2""), ""\d+"", """")), """")"),"Santa Ignacia, Tarlac")</f>
        <v>Santa Ignacia, Tarlac</v>
      </c>
    </row>
    <row r="1030">
      <c r="A1030" s="1" t="s">
        <v>2926</v>
      </c>
      <c r="B1030" s="1" t="s">
        <v>2927</v>
      </c>
      <c r="C1030" s="1" t="s">
        <v>13</v>
      </c>
      <c r="D1030" s="1">
        <v>14.0091974</v>
      </c>
      <c r="E1030" s="1">
        <v>121.1080244</v>
      </c>
      <c r="F1030" s="1" t="s">
        <v>2928</v>
      </c>
      <c r="G1030" s="3" t="str">
        <f>IFERROR(__xludf.DUMMYFUNCTION("IF(REGEXMATCH(F1030, ""(?:.*,\s*)?([^,]+),\s*([^,]+),\s*Philippines.*""), TRIM(REGEXREPLACE(REGEXREPLACE(F1030, ""(?:.*,\s*)?([^,]+),\s*([^,]+),\s*Philippines.*"", ""$1, $2""), ""\d+"", """")), """")"),"Balete, Batangas")</f>
        <v>Balete, Batangas</v>
      </c>
    </row>
    <row r="1031">
      <c r="A1031" s="1" t="s">
        <v>2929</v>
      </c>
      <c r="B1031" s="1" t="s">
        <v>2930</v>
      </c>
      <c r="C1031" s="1" t="s">
        <v>13</v>
      </c>
      <c r="D1031" s="1">
        <v>14.4686973</v>
      </c>
      <c r="E1031" s="1">
        <v>121.4242789</v>
      </c>
      <c r="F1031" s="1" t="s">
        <v>2931</v>
      </c>
      <c r="G1031" s="3" t="str">
        <f>IFERROR(__xludf.DUMMYFUNCTION("IF(REGEXMATCH(F1031, ""(?:.*,\s*)?([^,]+),\s*([^,]+),\s*Philippines.*""), TRIM(REGEXREPLACE(REGEXREPLACE(F1031, ""(?:.*,\s*)?([^,]+),\s*([^,]+),\s*Philippines.*"", ""$1, $2""), ""\d+"", """")), """")"),"Santa Maria, Laguna")</f>
        <v>Santa Maria, Laguna</v>
      </c>
    </row>
    <row r="1032">
      <c r="A1032" s="1" t="s">
        <v>2932</v>
      </c>
      <c r="B1032" s="1" t="s">
        <v>2933</v>
      </c>
      <c r="C1032" s="1" t="s">
        <v>13</v>
      </c>
      <c r="D1032" s="1">
        <v>13.8800418</v>
      </c>
      <c r="E1032" s="1">
        <v>120.9657247</v>
      </c>
      <c r="F1032" s="1" t="s">
        <v>2934</v>
      </c>
      <c r="G1032" s="3" t="str">
        <f>IFERROR(__xludf.DUMMYFUNCTION("IF(REGEXMATCH(F1032, ""(?:.*,\s*)?([^,]+),\s*([^,]+),\s*Philippines.*""), TRIM(REGEXREPLACE(REGEXREPLACE(F1032, ""(?:.*,\s*)?([^,]+),\s*([^,]+),\s*Philippines.*"", ""$1, $2""), ""\d+"", """")), """")"),"Santa Teresita, Batangas")</f>
        <v>Santa Teresita, Batangas</v>
      </c>
    </row>
    <row r="1033">
      <c r="A1033" s="1" t="s">
        <v>2935</v>
      </c>
      <c r="B1033" s="1" t="s">
        <v>2936</v>
      </c>
      <c r="C1033" s="1" t="s">
        <v>9</v>
      </c>
      <c r="D1033" s="1">
        <v>14.5106223</v>
      </c>
      <c r="E1033" s="1">
        <v>121.407224</v>
      </c>
      <c r="F1033" s="1" t="s">
        <v>2937</v>
      </c>
      <c r="G1033" s="3" t="str">
        <f>IFERROR(__xludf.DUMMYFUNCTION("IF(REGEXMATCH(F1033, ""(?:.*,\s*)?([^,]+),\s*([^,]+),\s*Philippines.*""), TRIM(REGEXREPLACE(REGEXREPLACE(F1033, ""(?:.*,\s*)?([^,]+),\s*([^,]+),\s*Philippines.*"", ""$1, $2""), ""\d+"", """")), """")"),"Santa Maria, Laguna")</f>
        <v>Santa Maria, Laguna</v>
      </c>
    </row>
    <row r="1034">
      <c r="A1034" s="1" t="s">
        <v>2938</v>
      </c>
      <c r="B1034" s="1" t="s">
        <v>2939</v>
      </c>
      <c r="C1034" s="1" t="s">
        <v>9</v>
      </c>
      <c r="D1034" s="1">
        <v>14.3648125</v>
      </c>
      <c r="E1034" s="1">
        <v>121.5514531</v>
      </c>
      <c r="F1034" s="1" t="s">
        <v>2940</v>
      </c>
      <c r="G1034" s="3" t="str">
        <f>IFERROR(__xludf.DUMMYFUNCTION("IF(REGEXMATCH(F1034, ""(?:.*,\s*)?([^,]+),\s*([^,]+),\s*Philippines.*""), TRIM(REGEXREPLACE(REGEXREPLACE(F1034, ""(?:.*,\s*)?([^,]+),\s*([^,]+),\s*Philippines.*"", ""$1, $2""), ""\d+"", """")), """")"),"Paete, Laguna")</f>
        <v>Paete, Laguna</v>
      </c>
    </row>
    <row r="1035">
      <c r="A1035" s="1" t="s">
        <v>2941</v>
      </c>
      <c r="B1035" s="1" t="s">
        <v>2942</v>
      </c>
      <c r="C1035" s="1" t="s">
        <v>9</v>
      </c>
      <c r="D1035" s="1">
        <v>14.2746314</v>
      </c>
      <c r="E1035" s="1">
        <v>121.1247067</v>
      </c>
      <c r="F1035" s="1" t="s">
        <v>2943</v>
      </c>
      <c r="G1035" s="3" t="str">
        <f>IFERROR(__xludf.DUMMYFUNCTION("IF(REGEXMATCH(F1035, ""(?:.*,\s*)?([^,]+),\s*([^,]+),\s*Philippines.*""), TRIM(REGEXREPLACE(REGEXREPLACE(F1035, ""(?:.*,\s*)?([^,]+),\s*([^,]+),\s*Philippines.*"", ""$1, $2""), ""\d+"", """")), """")"),"Cabuyao City, Laguna")</f>
        <v>Cabuyao City, Laguna</v>
      </c>
    </row>
    <row r="1036">
      <c r="A1036" s="1" t="s">
        <v>2944</v>
      </c>
      <c r="B1036" s="1" t="s">
        <v>2945</v>
      </c>
      <c r="C1036" s="1" t="s">
        <v>9</v>
      </c>
      <c r="D1036" s="1">
        <v>14.445654</v>
      </c>
      <c r="E1036" s="1">
        <v>120.9523078</v>
      </c>
      <c r="F1036" s="1" t="s">
        <v>2946</v>
      </c>
      <c r="G1036" s="3" t="str">
        <f>IFERROR(__xludf.DUMMYFUNCTION("IF(REGEXMATCH(F1036, ""(?:.*,\s*)?([^,]+),\s*([^,]+),\s*Philippines.*""), TRIM(REGEXREPLACE(REGEXREPLACE(F1036, ""(?:.*,\s*)?([^,]+),\s*([^,]+),\s*Philippines.*"", ""$1, $2""), ""\d+"", """")), """")"),"Bacoor, Cavite")</f>
        <v>Bacoor, Cavite</v>
      </c>
    </row>
    <row r="1037">
      <c r="A1037" s="1" t="s">
        <v>2947</v>
      </c>
      <c r="B1037" s="1" t="s">
        <v>2948</v>
      </c>
      <c r="C1037" s="1" t="s">
        <v>9</v>
      </c>
      <c r="D1037" s="1">
        <v>13.9454719</v>
      </c>
      <c r="E1037" s="1">
        <v>120.7304724</v>
      </c>
      <c r="F1037" s="1" t="s">
        <v>2949</v>
      </c>
      <c r="G1037" s="3" t="str">
        <f>IFERROR(__xludf.DUMMYFUNCTION("IF(REGEXMATCH(F1037, ""(?:.*,\s*)?([^,]+),\s*([^,]+),\s*Philippines.*""), TRIM(REGEXREPLACE(REGEXREPLACE(F1037, ""(?:.*,\s*)?([^,]+),\s*([^,]+),\s*Philippines.*"", ""$1, $2""), ""\d+"", """")), """")"),"Balayan, Batangas")</f>
        <v>Balayan, Batangas</v>
      </c>
    </row>
    <row r="1038">
      <c r="A1038" s="1" t="s">
        <v>2950</v>
      </c>
      <c r="B1038" s="1" t="s">
        <v>2951</v>
      </c>
      <c r="C1038" s="1" t="s">
        <v>9</v>
      </c>
      <c r="D1038" s="1">
        <v>13.7659177</v>
      </c>
      <c r="E1038" s="1">
        <v>121.065041</v>
      </c>
      <c r="F1038" s="1" t="s">
        <v>2952</v>
      </c>
      <c r="G1038" s="3" t="str">
        <f>IFERROR(__xludf.DUMMYFUNCTION("IF(REGEXMATCH(F1038, ""(?:.*,\s*)?([^,]+),\s*([^,]+),\s*Philippines.*""), TRIM(REGEXREPLACE(REGEXREPLACE(F1038, ""(?:.*,\s*)?([^,]+),\s*([^,]+),\s*Philippines.*"", ""$1, $2""), ""\d+"", """")), """")"),"Batangas City, Batangas")</f>
        <v>Batangas City, Batangas</v>
      </c>
    </row>
    <row r="1039">
      <c r="A1039" s="1" t="s">
        <v>2953</v>
      </c>
      <c r="B1039" s="1" t="s">
        <v>2954</v>
      </c>
      <c r="C1039" s="1" t="s">
        <v>9</v>
      </c>
      <c r="D1039" s="1">
        <v>14.2204469</v>
      </c>
      <c r="E1039" s="1">
        <v>121.1393586</v>
      </c>
      <c r="F1039" s="1" t="s">
        <v>2845</v>
      </c>
      <c r="G1039" s="3" t="str">
        <f>IFERROR(__xludf.DUMMYFUNCTION("IF(REGEXMATCH(F1039, ""(?:.*,\s*)?([^,]+),\s*([^,]+),\s*Philippines.*""), TRIM(REGEXREPLACE(REGEXREPLACE(F1039, ""(?:.*,\s*)?([^,]+),\s*([^,]+),\s*Philippines.*"", ""$1, $2""), ""\d+"", """")), """")"),"Calamba, Laguna")</f>
        <v>Calamba, Laguna</v>
      </c>
    </row>
    <row r="1040">
      <c r="A1040" s="1" t="s">
        <v>2955</v>
      </c>
      <c r="B1040" s="1" t="s">
        <v>2956</v>
      </c>
      <c r="C1040" s="1" t="s">
        <v>9</v>
      </c>
      <c r="D1040" s="1">
        <v>13.9414441</v>
      </c>
      <c r="E1040" s="1">
        <v>121.1633015</v>
      </c>
      <c r="F1040" s="1" t="s">
        <v>2957</v>
      </c>
      <c r="G1040" s="3" t="str">
        <f>IFERROR(__xludf.DUMMYFUNCTION("IF(REGEXMATCH(F1040, ""(?:.*,\s*)?([^,]+),\s*([^,]+),\s*Philippines.*""), TRIM(REGEXREPLACE(REGEXREPLACE(F1040, ""(?:.*,\s*)?([^,]+),\s*([^,]+),\s*Philippines.*"", ""$1, $2""), ""\d+"", """")), """")"),"Lipa City, Batangas")</f>
        <v>Lipa City, Batangas</v>
      </c>
    </row>
    <row r="1041">
      <c r="A1041" s="1" t="s">
        <v>2958</v>
      </c>
      <c r="B1041" s="1" t="s">
        <v>2959</v>
      </c>
      <c r="C1041" s="1" t="s">
        <v>9</v>
      </c>
      <c r="D1041" s="1">
        <v>14.5822746</v>
      </c>
      <c r="E1041" s="1">
        <v>121.1260222</v>
      </c>
      <c r="F1041" s="1" t="s">
        <v>2960</v>
      </c>
      <c r="G1041" s="3" t="str">
        <f>IFERROR(__xludf.DUMMYFUNCTION("IF(REGEXMATCH(F1041, ""(?:.*,\s*)?([^,]+),\s*([^,]+),\s*Philippines.*""), TRIM(REGEXREPLACE(REGEXREPLACE(F1041, ""(?:.*,\s*)?([^,]+),\s*([^,]+),\s*Philippines.*"", ""$1, $2""), ""\d+"", """")), """")"),"Cainta, Rizal")</f>
        <v>Cainta, Rizal</v>
      </c>
    </row>
    <row r="1042">
      <c r="A1042" s="1" t="s">
        <v>2961</v>
      </c>
      <c r="B1042" s="1" t="s">
        <v>2962</v>
      </c>
      <c r="C1042" s="1" t="s">
        <v>9</v>
      </c>
      <c r="D1042" s="1">
        <v>14.3232774</v>
      </c>
      <c r="E1042" s="1">
        <v>121.0624389</v>
      </c>
      <c r="F1042" s="1" t="s">
        <v>2963</v>
      </c>
      <c r="G1042" s="3" t="str">
        <f>IFERROR(__xludf.DUMMYFUNCTION("IF(REGEXMATCH(F1042, ""(?:.*,\s*)?([^,]+),\s*([^,]+),\s*Philippines.*""), TRIM(REGEXREPLACE(REGEXREPLACE(F1042, ""(?:.*,\s*)?([^,]+),\s*([^,]+),\s*Philippines.*"", ""$1, $2""), ""\d+"", """")), """")"),"Carmona, Cavite")</f>
        <v>Carmona, Cavite</v>
      </c>
    </row>
    <row r="1043">
      <c r="A1043" s="1" t="s">
        <v>2964</v>
      </c>
      <c r="B1043" s="1" t="s">
        <v>2965</v>
      </c>
      <c r="C1043" s="1" t="s">
        <v>9</v>
      </c>
      <c r="D1043" s="1">
        <v>14.2784752</v>
      </c>
      <c r="E1043" s="1">
        <v>121.4158842</v>
      </c>
      <c r="F1043" s="1" t="s">
        <v>2966</v>
      </c>
      <c r="G1043" s="3" t="str">
        <f>IFERROR(__xludf.DUMMYFUNCTION("IF(REGEXMATCH(F1043, ""(?:.*,\s*)?([^,]+),\s*([^,]+),\s*Philippines.*""), TRIM(REGEXREPLACE(REGEXREPLACE(F1043, ""(?:.*,\s*)?([^,]+),\s*([^,]+),\s*Philippines.*"", ""$1, $2""), ""\d+"", """")), """")"),"Santa Cruz, Laguna")</f>
        <v>Santa Cruz, Laguna</v>
      </c>
    </row>
    <row r="1044">
      <c r="A1044" s="1" t="s">
        <v>2967</v>
      </c>
      <c r="B1044" s="1" t="s">
        <v>2968</v>
      </c>
      <c r="C1044" s="1" t="s">
        <v>9</v>
      </c>
      <c r="D1044" s="1">
        <v>14.1162393</v>
      </c>
      <c r="E1044" s="1">
        <v>120.9620917</v>
      </c>
      <c r="F1044" s="1" t="s">
        <v>2969</v>
      </c>
      <c r="G1044" s="3" t="str">
        <f>IFERROR(__xludf.DUMMYFUNCTION("IF(REGEXMATCH(F1044, ""(?:.*,\s*)?([^,]+),\s*([^,]+),\s*Philippines.*""), TRIM(REGEXREPLACE(REGEXREPLACE(F1044, ""(?:.*,\s*)?([^,]+),\s*([^,]+),\s*Philippines.*"", ""$1, $2""), ""\d+"", """")), """")"),"Tagaytay City, Cavite")</f>
        <v>Tagaytay City, Cavite</v>
      </c>
    </row>
    <row r="1045">
      <c r="A1045" s="1" t="s">
        <v>2970</v>
      </c>
      <c r="B1045" s="1" t="s">
        <v>2971</v>
      </c>
      <c r="C1045" s="1" t="s">
        <v>9</v>
      </c>
      <c r="D1045" s="1">
        <v>14.0838742</v>
      </c>
      <c r="E1045" s="1">
        <v>121.1454309</v>
      </c>
      <c r="F1045" s="1" t="s">
        <v>2972</v>
      </c>
      <c r="G1045" s="3" t="str">
        <f>IFERROR(__xludf.DUMMYFUNCTION("IF(REGEXMATCH(F1045, ""(?:.*,\s*)?([^,]+),\s*([^,]+),\s*Philippines.*""), TRIM(REGEXREPLACE(REGEXREPLACE(F1045, ""(?:.*,\s*)?([^,]+),\s*([^,]+),\s*Philippines.*"", ""$1, $2""), ""\d+"", """")), """")"),"Tanauan City, Batangas")</f>
        <v>Tanauan City, Batangas</v>
      </c>
    </row>
    <row r="1046">
      <c r="A1046" s="1" t="s">
        <v>2973</v>
      </c>
      <c r="B1046" s="1" t="s">
        <v>2974</v>
      </c>
      <c r="C1046" s="1" t="s">
        <v>9</v>
      </c>
      <c r="D1046" s="1">
        <v>14.5083926</v>
      </c>
      <c r="E1046" s="1">
        <v>121.2875536</v>
      </c>
      <c r="F1046" s="1" t="s">
        <v>2975</v>
      </c>
      <c r="G1046" s="3" t="str">
        <f>IFERROR(__xludf.DUMMYFUNCTION("IF(REGEXMATCH(F1046, ""(?:.*,\s*)?([^,]+),\s*([^,]+),\s*Philippines.*""), TRIM(REGEXREPLACE(REGEXREPLACE(F1046, ""(?:.*,\s*)?([^,]+),\s*([^,]+),\s*Philippines.*"", ""$1, $2""), ""\d+"", """")), """")"),"Tanay, Rizal")</f>
        <v>Tanay, Rizal</v>
      </c>
    </row>
    <row r="1047">
      <c r="A1047" s="1" t="s">
        <v>2976</v>
      </c>
      <c r="B1047" s="1" t="s">
        <v>2977</v>
      </c>
      <c r="C1047" s="1" t="s">
        <v>9</v>
      </c>
      <c r="D1047" s="1">
        <v>14.2204469</v>
      </c>
      <c r="E1047" s="1">
        <v>121.1393586</v>
      </c>
      <c r="F1047" s="1" t="s">
        <v>2845</v>
      </c>
      <c r="G1047" s="3" t="str">
        <f>IFERROR(__xludf.DUMMYFUNCTION("IF(REGEXMATCH(F1047, ""(?:.*,\s*)?([^,]+),\s*([^,]+),\s*Philippines.*""), TRIM(REGEXREPLACE(REGEXREPLACE(F1047, ""(?:.*,\s*)?([^,]+),\s*([^,]+),\s*Philippines.*"", ""$1, $2""), ""\d+"", """")), """")"),"Calamba, Laguna")</f>
        <v>Calamba, Laguna</v>
      </c>
    </row>
    <row r="1048">
      <c r="A1048" s="1" t="s">
        <v>2978</v>
      </c>
      <c r="B1048" s="1" t="s">
        <v>2979</v>
      </c>
      <c r="C1048" s="1" t="s">
        <v>9</v>
      </c>
      <c r="D1048" s="1">
        <v>14.3301492</v>
      </c>
      <c r="E1048" s="1">
        <v>120.9363174</v>
      </c>
      <c r="F1048" s="1" t="s">
        <v>2980</v>
      </c>
      <c r="G1048" s="3" t="str">
        <f>IFERROR(__xludf.DUMMYFUNCTION("IF(REGEXMATCH(F1048, ""(?:.*,\s*)?([^,]+),\s*([^,]+),\s*Philippines.*""), TRIM(REGEXREPLACE(REGEXREPLACE(F1048, ""(?:.*,\s*)?([^,]+),\s*([^,]+),\s*Philippines.*"", ""$1, $2""), ""\d+"", """")), """")"),"Dasmariñas, Cavite")</f>
        <v>Dasmariñas, Cavite</v>
      </c>
    </row>
    <row r="1049">
      <c r="A1049" s="1" t="s">
        <v>2981</v>
      </c>
      <c r="B1049" s="1" t="s">
        <v>2982</v>
      </c>
      <c r="C1049" s="1" t="s">
        <v>9</v>
      </c>
      <c r="D1049" s="1">
        <v>14.4075076</v>
      </c>
      <c r="E1049" s="1">
        <v>120.8586648</v>
      </c>
      <c r="F1049" s="1" t="s">
        <v>2983</v>
      </c>
      <c r="G1049" s="3" t="str">
        <f>IFERROR(__xludf.DUMMYFUNCTION("IF(REGEXMATCH(F1049, ""(?:.*,\s*)?([^,]+),\s*([^,]+),\s*Philippines.*""), TRIM(REGEXREPLACE(REGEXREPLACE(F1049, ""(?:.*,\s*)?([^,]+),\s*([^,]+),\s*Philippines.*"", ""$1, $2""), ""\d+"", """")), """")"),"Rosario, Cavite")</f>
        <v>Rosario, Cavite</v>
      </c>
    </row>
    <row r="1050">
      <c r="A1050" s="1" t="s">
        <v>2984</v>
      </c>
      <c r="B1050" s="1" t="s">
        <v>2985</v>
      </c>
      <c r="C1050" s="1" t="s">
        <v>9</v>
      </c>
      <c r="D1050" s="1">
        <v>14.0695979</v>
      </c>
      <c r="E1050" s="1">
        <v>121.3234623</v>
      </c>
      <c r="F1050" s="1" t="s">
        <v>2986</v>
      </c>
      <c r="G1050" s="3" t="str">
        <f>IFERROR(__xludf.DUMMYFUNCTION("IF(REGEXMATCH(F1050, ""(?:.*,\s*)?([^,]+),\s*([^,]+),\s*Philippines.*""), TRIM(REGEXREPLACE(REGEXREPLACE(F1050, ""(?:.*,\s*)?([^,]+),\s*([^,]+),\s*Philippines.*"", ""$1, $2""), ""\d+"", """")), """")"),"San Pablo City, Laguna")</f>
        <v>San Pablo City, Laguna</v>
      </c>
    </row>
    <row r="1051">
      <c r="A1051" s="1" t="s">
        <v>2987</v>
      </c>
      <c r="B1051" s="1" t="s">
        <v>2988</v>
      </c>
      <c r="C1051" s="1" t="s">
        <v>9</v>
      </c>
      <c r="D1051" s="1">
        <v>14.0695979</v>
      </c>
      <c r="E1051" s="1">
        <v>121.3234623</v>
      </c>
      <c r="F1051" s="1" t="s">
        <v>2986</v>
      </c>
      <c r="G1051" s="3" t="str">
        <f>IFERROR(__xludf.DUMMYFUNCTION("IF(REGEXMATCH(F1051, ""(?:.*,\s*)?([^,]+),\s*([^,]+),\s*Philippines.*""), TRIM(REGEXREPLACE(REGEXREPLACE(F1051, ""(?:.*,\s*)?([^,]+),\s*([^,]+),\s*Philippines.*"", ""$1, $2""), ""\d+"", """")), """")"),"San Pablo City, Laguna")</f>
        <v>San Pablo City, Laguna</v>
      </c>
    </row>
    <row r="1052">
      <c r="A1052" s="1" t="s">
        <v>2989</v>
      </c>
      <c r="B1052" s="1" t="s">
        <v>2990</v>
      </c>
      <c r="C1052" s="1" t="s">
        <v>9</v>
      </c>
      <c r="D1052" s="1">
        <v>14.2951067</v>
      </c>
      <c r="E1052" s="1">
        <v>121.1038117</v>
      </c>
      <c r="F1052" s="1" t="s">
        <v>2991</v>
      </c>
      <c r="G1052" s="3" t="str">
        <f>IFERROR(__xludf.DUMMYFUNCTION("IF(REGEXMATCH(F1052, ""(?:.*,\s*)?([^,]+),\s*([^,]+),\s*Philippines.*""), TRIM(REGEXREPLACE(REGEXREPLACE(F1052, ""(?:.*,\s*)?([^,]+),\s*([^,]+),\s*Philippines.*"", ""$1, $2""), ""\d+"", """")), """")"),"City of Santa Rosa, Laguna")</f>
        <v>City of Santa Rosa, Laguna</v>
      </c>
    </row>
    <row r="1053">
      <c r="A1053" s="1" t="s">
        <v>2992</v>
      </c>
      <c r="B1053" s="1" t="s">
        <v>2993</v>
      </c>
      <c r="C1053" s="1" t="s">
        <v>9</v>
      </c>
      <c r="D1053" s="1">
        <v>14.2951067</v>
      </c>
      <c r="E1053" s="1">
        <v>121.1038117</v>
      </c>
      <c r="F1053" s="1" t="s">
        <v>2991</v>
      </c>
      <c r="G1053" s="3" t="str">
        <f>IFERROR(__xludf.DUMMYFUNCTION("IF(REGEXMATCH(F1053, ""(?:.*,\s*)?([^,]+),\s*([^,]+),\s*Philippines.*""), TRIM(REGEXREPLACE(REGEXREPLACE(F1053, ""(?:.*,\s*)?([^,]+),\s*([^,]+),\s*Philippines.*"", ""$1, $2""), ""\d+"", """")), """")"),"City of Santa Rosa, Laguna")</f>
        <v>City of Santa Rosa, Laguna</v>
      </c>
    </row>
    <row r="1054">
      <c r="A1054" s="1" t="s">
        <v>2994</v>
      </c>
      <c r="B1054" s="1" t="s">
        <v>2995</v>
      </c>
      <c r="C1054" s="1" t="s">
        <v>9</v>
      </c>
      <c r="D1054" s="1">
        <v>14.2784752</v>
      </c>
      <c r="E1054" s="1">
        <v>121.4158842</v>
      </c>
      <c r="F1054" s="1" t="s">
        <v>2966</v>
      </c>
      <c r="G1054" s="3" t="str">
        <f>IFERROR(__xludf.DUMMYFUNCTION("IF(REGEXMATCH(F1054, ""(?:.*,\s*)?([^,]+),\s*([^,]+),\s*Philippines.*""), TRIM(REGEXREPLACE(REGEXREPLACE(F1054, ""(?:.*,\s*)?([^,]+),\s*([^,]+),\s*Philippines.*"", ""$1, $2""), ""\d+"", """")), """")"),"Santa Cruz, Laguna")</f>
        <v>Santa Cruz, Laguna</v>
      </c>
    </row>
    <row r="1055">
      <c r="A1055" s="1" t="s">
        <v>2996</v>
      </c>
      <c r="B1055" s="1" t="s">
        <v>2997</v>
      </c>
      <c r="C1055" s="1" t="s">
        <v>9</v>
      </c>
      <c r="D1055" s="1">
        <v>13.9297924</v>
      </c>
      <c r="E1055" s="1">
        <v>121.6127395</v>
      </c>
      <c r="F1055" s="1" t="s">
        <v>2998</v>
      </c>
      <c r="G1055" s="3" t="str">
        <f>IFERROR(__xludf.DUMMYFUNCTION("IF(REGEXMATCH(F1055, ""(?:.*,\s*)?([^,]+),\s*([^,]+),\s*Philippines.*""), TRIM(REGEXREPLACE(REGEXREPLACE(F1055, ""(?:.*,\s*)?([^,]+),\s*([^,]+),\s*Philippines.*"", ""$1, $2""), ""\d+"", """")), """")"),"Lucena City, Quezon")</f>
        <v>Lucena City, Quezon</v>
      </c>
    </row>
    <row r="1056">
      <c r="A1056" s="1" t="s">
        <v>2999</v>
      </c>
      <c r="B1056" s="1" t="s">
        <v>3000</v>
      </c>
      <c r="C1056" s="1" t="s">
        <v>13</v>
      </c>
      <c r="D1056" s="1">
        <v>14.1022908</v>
      </c>
      <c r="E1056" s="1">
        <v>121.3625197</v>
      </c>
      <c r="F1056" s="1" t="s">
        <v>3001</v>
      </c>
      <c r="G1056" s="3" t="str">
        <f>IFERROR(__xludf.DUMMYFUNCTION("IF(REGEXMATCH(F1056, ""(?:.*,\s*)?([^,]+),\s*([^,]+),\s*Philippines.*""), TRIM(REGEXREPLACE(REGEXREPLACE(F1056, ""(?:.*,\s*)?([^,]+),\s*([^,]+),\s*Philippines.*"", ""$1, $2""), ""\d+"", """")), """")"),"San Pablo City, Laguna")</f>
        <v>San Pablo City, Laguna</v>
      </c>
    </row>
    <row r="1057">
      <c r="A1057" s="1" t="s">
        <v>3002</v>
      </c>
      <c r="B1057" s="1" t="s">
        <v>3003</v>
      </c>
      <c r="C1057" s="1" t="s">
        <v>13</v>
      </c>
      <c r="D1057" s="1">
        <v>14.2276652</v>
      </c>
      <c r="E1057" s="1">
        <v>121.0479444</v>
      </c>
      <c r="F1057" s="1" t="s">
        <v>3004</v>
      </c>
      <c r="G1057" s="3" t="str">
        <f>IFERROR(__xludf.DUMMYFUNCTION("IF(REGEXMATCH(F1057, ""(?:.*,\s*)?([^,]+),\s*([^,]+),\s*Philippines.*""), TRIM(REGEXREPLACE(REGEXREPLACE(F1057, ""(?:.*,\s*)?([^,]+),\s*([^,]+),\s*Philippines.*"", ""$1, $2""), ""\d+"", """")), """")"),"City of Santa Rosa, Laguna")</f>
        <v>City of Santa Rosa, Laguna</v>
      </c>
    </row>
    <row r="1058">
      <c r="A1058" s="1" t="s">
        <v>3005</v>
      </c>
      <c r="B1058" s="1" t="s">
        <v>3006</v>
      </c>
      <c r="C1058" s="1" t="s">
        <v>13</v>
      </c>
      <c r="D1058" s="1">
        <v>15.6971447</v>
      </c>
      <c r="E1058" s="1">
        <v>120.8986775</v>
      </c>
      <c r="F1058" s="1" t="s">
        <v>3007</v>
      </c>
      <c r="G1058" s="3" t="str">
        <f>IFERROR(__xludf.DUMMYFUNCTION("IF(REGEXMATCH(F1058, ""(?:.*,\s*)?([^,]+),\s*([^,]+),\s*Philippines.*""), TRIM(REGEXREPLACE(REGEXREPLACE(F1058, ""(?:.*,\s*)?([^,]+),\s*([^,]+),\s*Philippines.*"", ""$1, $2""), ""\d+"", """")), """")"),"Talavera, Nueva Ecija")</f>
        <v>Talavera, Nueva Ecija</v>
      </c>
    </row>
    <row r="1059">
      <c r="A1059" s="1" t="s">
        <v>3008</v>
      </c>
      <c r="B1059" s="1" t="s">
        <v>3009</v>
      </c>
      <c r="C1059" s="1" t="s">
        <v>9</v>
      </c>
      <c r="D1059" s="1">
        <v>13.8503559</v>
      </c>
      <c r="E1059" s="1">
        <v>121.2042195</v>
      </c>
      <c r="F1059" s="1" t="s">
        <v>3010</v>
      </c>
      <c r="G1059" s="3" t="str">
        <f>IFERROR(__xludf.DUMMYFUNCTION("IF(REGEXMATCH(F1059, ""(?:.*,\s*)?([^,]+),\s*([^,]+),\s*Philippines.*""), TRIM(REGEXREPLACE(REGEXREPLACE(F1059, ""(?:.*,\s*)?([^,]+),\s*([^,]+),\s*Philippines.*"", ""$1, $2""), ""\d+"", """")), """")"),"Rosario, Batangas")</f>
        <v>Rosario, Batangas</v>
      </c>
    </row>
    <row r="1060">
      <c r="A1060" s="1" t="s">
        <v>3011</v>
      </c>
      <c r="B1060" s="1" t="s">
        <v>3009</v>
      </c>
      <c r="C1060" s="1" t="s">
        <v>9</v>
      </c>
      <c r="D1060" s="1">
        <v>13.8503559</v>
      </c>
      <c r="E1060" s="1">
        <v>121.2042195</v>
      </c>
      <c r="F1060" s="1" t="s">
        <v>3010</v>
      </c>
      <c r="G1060" s="3" t="str">
        <f>IFERROR(__xludf.DUMMYFUNCTION("IF(REGEXMATCH(F1060, ""(?:.*,\s*)?([^,]+),\s*([^,]+),\s*Philippines.*""), TRIM(REGEXREPLACE(REGEXREPLACE(F1060, ""(?:.*,\s*)?([^,]+),\s*([^,]+),\s*Philippines.*"", ""$1, $2""), ""\d+"", """")), """")"),"Rosario, Batangas")</f>
        <v>Rosario, Batangas</v>
      </c>
    </row>
    <row r="1061">
      <c r="A1061" s="1" t="s">
        <v>3012</v>
      </c>
      <c r="B1061" s="1" t="s">
        <v>125</v>
      </c>
      <c r="C1061" s="1" t="s">
        <v>13</v>
      </c>
      <c r="D1061" s="1">
        <v>13.7730916</v>
      </c>
      <c r="E1061" s="1">
        <v>123.7489785</v>
      </c>
      <c r="F1061" s="1" t="s">
        <v>2210</v>
      </c>
      <c r="G1061" s="3" t="str">
        <f>IFERROR(__xludf.DUMMYFUNCTION("IF(REGEXMATCH(F1061, ""(?:.*,\s*)?([^,]+),\s*([^,]+),\s*Philippines.*""), TRIM(REGEXREPLACE(REGEXREPLACE(F1061, ""(?:.*,\s*)?([^,]+),\s*([^,]+),\s*Philippines.*"", ""$1, $2""), ""\d+"", """")), """")"),"Presentacion, Camarines Sur")</f>
        <v>Presentacion, Camarines Sur</v>
      </c>
    </row>
    <row r="1062">
      <c r="A1062" s="1" t="s">
        <v>3013</v>
      </c>
      <c r="B1062" s="1" t="s">
        <v>3014</v>
      </c>
      <c r="C1062" s="1" t="s">
        <v>13</v>
      </c>
      <c r="D1062" s="1">
        <v>13.7754577</v>
      </c>
      <c r="E1062" s="1">
        <v>122.3050823</v>
      </c>
      <c r="F1062" s="1" t="s">
        <v>2598</v>
      </c>
      <c r="G1062" s="3" t="str">
        <f>IFERROR(__xludf.DUMMYFUNCTION("IF(REGEXMATCH(F1062, ""(?:.*,\s*)?([^,]+),\s*([^,]+),\s*Philippines.*""), TRIM(REGEXREPLACE(REGEXREPLACE(F1062, ""(?:.*,\s*)?([^,]+),\s*([^,]+),\s*Philippines.*"", ""$1, $2""), ""\d+"", """")), """")"),"Lopez, Quezon")</f>
        <v>Lopez, Quezon</v>
      </c>
    </row>
    <row r="1063">
      <c r="A1063" s="1" t="s">
        <v>3015</v>
      </c>
      <c r="B1063" s="1" t="s">
        <v>3016</v>
      </c>
      <c r="C1063" s="1" t="s">
        <v>13</v>
      </c>
      <c r="D1063" s="1">
        <v>14.6899057</v>
      </c>
      <c r="E1063" s="1">
        <v>121.0701992</v>
      </c>
      <c r="F1063" s="1" t="s">
        <v>3017</v>
      </c>
      <c r="G1063" s="3" t="str">
        <f>IFERROR(__xludf.DUMMYFUNCTION("IF(REGEXMATCH(F1063, ""(?:.*,\s*)?([^,]+),\s*([^,]+),\s*Philippines.*""), TRIM(REGEXREPLACE(REGEXREPLACE(F1063, ""(?:.*,\s*)?([^,]+),\s*([^,]+),\s*Philippines.*"", ""$1, $2""), ""\d+"", """")), """")"),"Quezon City, Metro Manila")</f>
        <v>Quezon City, Metro Manila</v>
      </c>
    </row>
    <row r="1064">
      <c r="A1064" s="1" t="s">
        <v>3018</v>
      </c>
      <c r="B1064" s="1" t="s">
        <v>3019</v>
      </c>
      <c r="C1064" s="1" t="s">
        <v>13</v>
      </c>
      <c r="D1064" s="1">
        <v>14.1681956</v>
      </c>
      <c r="E1064" s="1">
        <v>121.3489805</v>
      </c>
      <c r="F1064" s="1" t="s">
        <v>3020</v>
      </c>
      <c r="G1064" s="3" t="str">
        <f>IFERROR(__xludf.DUMMYFUNCTION("IF(REGEXMATCH(F1064, ""(?:.*,\s*)?([^,]+),\s*([^,]+),\s*Philippines.*""), TRIM(REGEXREPLACE(REGEXREPLACE(F1064, ""(?:.*,\s*)?([^,]+),\s*([^,]+),\s*Philippines.*"", ""$1, $2""), ""\d+"", """")), """")"),"Calauan, Laguna")</f>
        <v>Calauan, Laguna</v>
      </c>
    </row>
    <row r="1065">
      <c r="A1065" s="1" t="s">
        <v>3021</v>
      </c>
      <c r="B1065" s="1" t="s">
        <v>3022</v>
      </c>
      <c r="C1065" s="1" t="s">
        <v>9</v>
      </c>
      <c r="D1065" s="1">
        <v>14.0945305</v>
      </c>
      <c r="E1065" s="1">
        <v>121.1621665</v>
      </c>
      <c r="F1065" s="1" t="s">
        <v>3023</v>
      </c>
      <c r="G1065" s="3" t="str">
        <f>IFERROR(__xludf.DUMMYFUNCTION("IF(REGEXMATCH(F1065, ""(?:.*,\s*)?([^,]+),\s*([^,]+),\s*Philippines.*""), TRIM(REGEXREPLACE(REGEXREPLACE(F1065, ""(?:.*,\s*)?([^,]+),\s*([^,]+),\s*Philippines.*"", ""$1, $2""), ""\d+"", """")), """")"),"Santo Tomas, Batangas")</f>
        <v>Santo Tomas, Batangas</v>
      </c>
    </row>
    <row r="1066">
      <c r="A1066" s="1" t="s">
        <v>3024</v>
      </c>
      <c r="B1066" s="1" t="s">
        <v>3025</v>
      </c>
      <c r="C1066" s="1" t="s">
        <v>9</v>
      </c>
      <c r="D1066" s="1">
        <v>14.2119796</v>
      </c>
      <c r="E1066" s="1">
        <v>121.1528901</v>
      </c>
      <c r="F1066" s="1" t="s">
        <v>3026</v>
      </c>
      <c r="G1066" s="3" t="str">
        <f>IFERROR(__xludf.DUMMYFUNCTION("IF(REGEXMATCH(F1066, ""(?:.*,\s*)?([^,]+),\s*([^,]+),\s*Philippines.*""), TRIM(REGEXREPLACE(REGEXREPLACE(F1066, ""(?:.*,\s*)?([^,]+),\s*([^,]+),\s*Philippines.*"", ""$1, $2""), ""\d+"", """")), """")"),"Calamba, Laguna")</f>
        <v>Calamba, Laguna</v>
      </c>
    </row>
    <row r="1067">
      <c r="A1067" s="1" t="s">
        <v>3027</v>
      </c>
      <c r="B1067" s="1" t="s">
        <v>3028</v>
      </c>
      <c r="C1067" s="1" t="s">
        <v>9</v>
      </c>
      <c r="D1067" s="1">
        <v>14.5755584</v>
      </c>
      <c r="E1067" s="1">
        <v>121.1776843</v>
      </c>
      <c r="F1067" s="1" t="s">
        <v>3029</v>
      </c>
      <c r="G1067" s="3" t="str">
        <f>IFERROR(__xludf.DUMMYFUNCTION("IF(REGEXMATCH(F1067, ""(?:.*,\s*)?([^,]+),\s*([^,]+),\s*Philippines.*""), TRIM(REGEXREPLACE(REGEXREPLACE(F1067, ""(?:.*,\s*)?([^,]+),\s*([^,]+),\s*Philippines.*"", ""$1, $2""), ""\d+"", """")), """")"),"Antipolo, Rizal")</f>
        <v>Antipolo, Rizal</v>
      </c>
    </row>
    <row r="1068">
      <c r="A1068" s="1" t="s">
        <v>3030</v>
      </c>
      <c r="B1068" s="1" t="s">
        <v>3031</v>
      </c>
      <c r="C1068" s="1" t="s">
        <v>13</v>
      </c>
      <c r="D1068" s="1">
        <v>14.5863966</v>
      </c>
      <c r="E1068" s="1">
        <v>121.173097</v>
      </c>
      <c r="F1068" s="1" t="s">
        <v>3032</v>
      </c>
      <c r="G1068" s="3" t="str">
        <f>IFERROR(__xludf.DUMMYFUNCTION("IF(REGEXMATCH(F1068, ""(?:.*,\s*)?([^,]+),\s*([^,]+),\s*Philippines.*""), TRIM(REGEXREPLACE(REGEXREPLACE(F1068, ""(?:.*,\s*)?([^,]+),\s*([^,]+),\s*Philippines.*"", ""$1, $2""), ""\d+"", """")), """")"),"Antipolo, Rizal")</f>
        <v>Antipolo, Rizal</v>
      </c>
    </row>
    <row r="1069">
      <c r="A1069" s="1" t="s">
        <v>3033</v>
      </c>
      <c r="B1069" s="1" t="s">
        <v>3034</v>
      </c>
      <c r="C1069" s="1" t="s">
        <v>9</v>
      </c>
      <c r="D1069" s="1">
        <v>13.8817336</v>
      </c>
      <c r="E1069" s="1">
        <v>120.924646</v>
      </c>
      <c r="F1069" s="1" t="s">
        <v>3035</v>
      </c>
      <c r="G1069" s="3" t="str">
        <f>IFERROR(__xludf.DUMMYFUNCTION("IF(REGEXMATCH(F1069, ""(?:.*,\s*)?([^,]+),\s*([^,]+),\s*Philippines.*""), TRIM(REGEXREPLACE(REGEXREPLACE(F1069, ""(?:.*,\s*)?([^,]+),\s*([^,]+),\s*Philippines.*"", ""$1, $2""), ""\d+"", """")), """")"),"Taal, Batangas")</f>
        <v>Taal, Batangas</v>
      </c>
    </row>
    <row r="1070">
      <c r="A1070" s="1" t="s">
        <v>3036</v>
      </c>
      <c r="B1070" s="1" t="s">
        <v>3037</v>
      </c>
      <c r="C1070" s="1" t="s">
        <v>13</v>
      </c>
      <c r="D1070" s="1">
        <v>13.7149208</v>
      </c>
      <c r="E1070" s="1">
        <v>121.0624171</v>
      </c>
      <c r="F1070" s="1" t="s">
        <v>3038</v>
      </c>
      <c r="G1070" s="3" t="str">
        <f>IFERROR(__xludf.DUMMYFUNCTION("IF(REGEXMATCH(F1070, ""(?:.*,\s*)?([^,]+),\s*([^,]+),\s*Philippines.*""), TRIM(REGEXREPLACE(REGEXREPLACE(F1070, ""(?:.*,\s*)?([^,]+),\s*([^,]+),\s*Philippines.*"", ""$1, $2""), ""\d+"", """")), """")"),"Batangas City, Batangas")</f>
        <v>Batangas City, Batangas</v>
      </c>
    </row>
    <row r="1071">
      <c r="A1071" s="1" t="s">
        <v>3039</v>
      </c>
      <c r="B1071" s="1" t="s">
        <v>3040</v>
      </c>
      <c r="C1071" s="1" t="s">
        <v>13</v>
      </c>
      <c r="D1071" s="1">
        <v>14.0368254</v>
      </c>
      <c r="E1071" s="1">
        <v>122.531617</v>
      </c>
      <c r="F1071" s="1" t="s">
        <v>3041</v>
      </c>
      <c r="G1071" s="3" t="str">
        <f>IFERROR(__xludf.DUMMYFUNCTION("IF(REGEXMATCH(F1071, ""(?:.*,\s*)?([^,]+),\s*([^,]+),\s*Philippines.*""), TRIM(REGEXREPLACE(REGEXREPLACE(F1071, ""(?:.*,\s*)?([^,]+),\s*([^,]+),\s*Philippines.*"", ""$1, $2""), ""\d+"", """")), """")"),"Tagkawayan, Quezon")</f>
        <v>Tagkawayan, Quezon</v>
      </c>
    </row>
    <row r="1072">
      <c r="A1072" s="1" t="s">
        <v>3042</v>
      </c>
      <c r="B1072" s="1" t="s">
        <v>3043</v>
      </c>
      <c r="C1072" s="1" t="s">
        <v>13</v>
      </c>
      <c r="D1072" s="1">
        <v>14.1024382</v>
      </c>
      <c r="E1072" s="1">
        <v>120.9240204</v>
      </c>
      <c r="F1072" s="1" t="s">
        <v>3044</v>
      </c>
      <c r="G1072" s="3" t="str">
        <f>IFERROR(__xludf.DUMMYFUNCTION("IF(REGEXMATCH(F1072, ""(?:.*,\s*)?([^,]+),\s*([^,]+),\s*Philippines.*""), TRIM(REGEXREPLACE(REGEXREPLACE(F1072, ""(?:.*,\s*)?([^,]+),\s*([^,]+),\s*Philippines.*"", ""$1, $2""), ""\d+"", """")), """")"),"Tagaytay City, Cavite")</f>
        <v>Tagaytay City, Cavite</v>
      </c>
    </row>
    <row r="1073">
      <c r="A1073" s="1" t="s">
        <v>3045</v>
      </c>
      <c r="B1073" s="1" t="s">
        <v>3046</v>
      </c>
      <c r="C1073" s="1" t="s">
        <v>13</v>
      </c>
      <c r="D1073" s="1">
        <v>14.1254789</v>
      </c>
      <c r="E1073" s="1">
        <v>120.9849322</v>
      </c>
      <c r="F1073" s="1" t="s">
        <v>3047</v>
      </c>
      <c r="G1073" s="3" t="str">
        <f>IFERROR(__xludf.DUMMYFUNCTION("IF(REGEXMATCH(F1073, ""(?:.*,\s*)?([^,]+),\s*([^,]+),\s*Philippines.*""), TRIM(REGEXREPLACE(REGEXREPLACE(F1073, ""(?:.*,\s*)?([^,]+),\s*([^,]+),\s*Philippines.*"", ""$1, $2""), ""\d+"", """")), """")"),"Tagaytay City, Cavite")</f>
        <v>Tagaytay City, Cavite</v>
      </c>
    </row>
    <row r="1074">
      <c r="A1074" s="1" t="s">
        <v>3048</v>
      </c>
      <c r="B1074" s="1" t="s">
        <v>3049</v>
      </c>
      <c r="C1074" s="1" t="s">
        <v>13</v>
      </c>
      <c r="D1074" s="1">
        <v>14.1266078</v>
      </c>
      <c r="E1074" s="1">
        <v>120.9059066</v>
      </c>
      <c r="F1074" s="1" t="s">
        <v>3050</v>
      </c>
      <c r="G1074" s="3" t="str">
        <f>IFERROR(__xludf.DUMMYFUNCTION("IF(REGEXMATCH(F1074, ""(?:.*,\s*)?([^,]+),\s*([^,]+),\s*Philippines.*""), TRIM(REGEXREPLACE(REGEXREPLACE(F1074, ""(?:.*,\s*)?([^,]+),\s*([^,]+),\s*Philippines.*"", ""$1, $2""), ""\d+"", """")), """")"),"Mendez, Cavite")</f>
        <v>Mendez, Cavite</v>
      </c>
    </row>
    <row r="1075">
      <c r="A1075" s="1" t="s">
        <v>3051</v>
      </c>
      <c r="B1075" s="1" t="s">
        <v>3052</v>
      </c>
      <c r="C1075" s="1" t="s">
        <v>13</v>
      </c>
      <c r="D1075" s="1">
        <v>13.9684084</v>
      </c>
      <c r="E1075" s="1">
        <v>122.5625049</v>
      </c>
      <c r="F1075" s="1" t="s">
        <v>3053</v>
      </c>
      <c r="G1075" s="3" t="str">
        <f>IFERROR(__xludf.DUMMYFUNCTION("IF(REGEXMATCH(F1075, ""(?:.*,\s*)?([^,]+),\s*([^,]+),\s*Philippines.*""), TRIM(REGEXREPLACE(REGEXREPLACE(F1075, ""(?:.*,\s*)?([^,]+),\s*([^,]+),\s*Philippines.*"", ""$1, $2""), ""\d+"", """")), """")"),"Tagkawayan, Quezon")</f>
        <v>Tagkawayan, Quezon</v>
      </c>
    </row>
    <row r="1076">
      <c r="A1076" s="1" t="s">
        <v>3054</v>
      </c>
      <c r="B1076" s="1" t="s">
        <v>3055</v>
      </c>
      <c r="C1076" s="1" t="s">
        <v>9</v>
      </c>
      <c r="D1076" s="1">
        <v>14.0929546</v>
      </c>
      <c r="E1076" s="1">
        <v>120.6972065</v>
      </c>
      <c r="F1076" s="1" t="s">
        <v>3056</v>
      </c>
      <c r="G1076" s="3" t="str">
        <f>IFERROR(__xludf.DUMMYFUNCTION("IF(REGEXMATCH(F1076, ""(?:.*,\s*)?([^,]+),\s*([^,]+),\s*Philippines.*""), TRIM(REGEXREPLACE(REGEXREPLACE(F1076, ""(?:.*,\s*)?([^,]+),\s*([^,]+),\s*Philippines.*"", ""$1, $2""), ""\d+"", """")), """")"),"Nasugbu, Batangas")</f>
        <v>Nasugbu, Batangas</v>
      </c>
    </row>
    <row r="1077">
      <c r="A1077" s="1" t="s">
        <v>3057</v>
      </c>
      <c r="B1077" s="1" t="s">
        <v>3058</v>
      </c>
      <c r="C1077" s="1" t="s">
        <v>13</v>
      </c>
      <c r="D1077" s="1">
        <v>13.6637665</v>
      </c>
      <c r="E1077" s="1">
        <v>121.1538564</v>
      </c>
      <c r="F1077" s="1" t="s">
        <v>3059</v>
      </c>
      <c r="G1077" s="3" t="str">
        <f>IFERROR(__xludf.DUMMYFUNCTION("IF(REGEXMATCH(F1077, ""(?:.*,\s*)?([^,]+),\s*([^,]+),\s*Philippines.*""), TRIM(REGEXREPLACE(REGEXREPLACE(F1077, ""(?:.*,\s*)?([^,]+),\s*([^,]+),\s*Philippines.*"", ""$1, $2""), ""\d+"", """")), """")"),"Batangas City, Batangas")</f>
        <v>Batangas City, Batangas</v>
      </c>
    </row>
    <row r="1078">
      <c r="A1078" s="1" t="s">
        <v>3060</v>
      </c>
      <c r="B1078" s="1" t="s">
        <v>3061</v>
      </c>
      <c r="C1078" s="1" t="s">
        <v>13</v>
      </c>
      <c r="D1078" s="1">
        <v>14.1411098</v>
      </c>
      <c r="E1078" s="1">
        <v>121.4131727</v>
      </c>
      <c r="F1078" s="1" t="s">
        <v>3062</v>
      </c>
      <c r="G1078" s="3" t="str">
        <f>IFERROR(__xludf.DUMMYFUNCTION("IF(REGEXMATCH(F1078, ""(?:.*,\s*)?([^,]+),\s*([^,]+),\s*Philippines.*""), TRIM(REGEXREPLACE(REGEXREPLACE(F1078, ""(?:.*,\s*)?([^,]+),\s*([^,]+),\s*Philippines.*"", ""$1, $2""), ""\d+"", """")), """")"),"Nagcarlan, Laguna")</f>
        <v>Nagcarlan, Laguna</v>
      </c>
    </row>
    <row r="1079">
      <c r="A1079" s="1" t="s">
        <v>3063</v>
      </c>
      <c r="B1079" s="1" t="s">
        <v>3064</v>
      </c>
      <c r="C1079" s="1" t="s">
        <v>13</v>
      </c>
      <c r="D1079" s="1">
        <v>14.296399</v>
      </c>
      <c r="E1079" s="1">
        <v>121.2356177</v>
      </c>
      <c r="F1079" s="1" t="s">
        <v>3065</v>
      </c>
      <c r="G1079" s="3" t="str">
        <f>IFERROR(__xludf.DUMMYFUNCTION("IF(REGEXMATCH(F1079, ""(?:.*,\s*)?([^,]+),\s*([^,]+),\s*Philippines.*""), TRIM(REGEXREPLACE(REGEXREPLACE(F1079, ""(?:.*,\s*)?([^,]+),\s*([^,]+),\s*Philippines.*"", ""$1, $2""), ""\d+"", """")), """")"),"Binangonan, Rizal")</f>
        <v>Binangonan, Rizal</v>
      </c>
    </row>
    <row r="1080">
      <c r="A1080" s="1" t="s">
        <v>3066</v>
      </c>
      <c r="B1080" s="1" t="s">
        <v>3067</v>
      </c>
      <c r="C1080" s="1" t="s">
        <v>13</v>
      </c>
      <c r="D1080" s="1">
        <v>13.9643171</v>
      </c>
      <c r="E1080" s="1">
        <v>121.6564758</v>
      </c>
      <c r="F1080" s="1" t="s">
        <v>3068</v>
      </c>
      <c r="G1080" s="3" t="str">
        <f>IFERROR(__xludf.DUMMYFUNCTION("IF(REGEXMATCH(F1080, ""(?:.*,\s*)?([^,]+),\s*([^,]+),\s*Philippines.*""), TRIM(REGEXREPLACE(REGEXREPLACE(F1080, ""(?:.*,\s*)?([^,]+),\s*([^,]+),\s*Philippines.*"", ""$1, $2""), ""\d+"", """")), """")"),"Bayan ng Quezon, Quezon")</f>
        <v>Bayan ng Quezon, Quezon</v>
      </c>
    </row>
    <row r="1081">
      <c r="A1081" s="1" t="s">
        <v>3069</v>
      </c>
      <c r="B1081" s="1" t="s">
        <v>3070</v>
      </c>
      <c r="C1081" s="1" t="s">
        <v>13</v>
      </c>
      <c r="D1081" s="1">
        <v>14.0928479</v>
      </c>
      <c r="E1081" s="1">
        <v>121.0216641</v>
      </c>
      <c r="F1081" s="1" t="s">
        <v>3071</v>
      </c>
      <c r="G1081" s="3" t="str">
        <f>IFERROR(__xludf.DUMMYFUNCTION("IF(REGEXMATCH(F1081, ""(?:.*,\s*)?([^,]+),\s*([^,]+),\s*Philippines.*""), TRIM(REGEXREPLACE(REGEXREPLACE(F1081, ""(?:.*,\s*)?([^,]+),\s*([^,]+),\s*Philippines.*"", ""$1, $2""), ""\d+"", """")), """")"),"Talisay, Batangas")</f>
        <v>Talisay, Batangas</v>
      </c>
    </row>
    <row r="1082">
      <c r="A1082" s="1" t="s">
        <v>3072</v>
      </c>
      <c r="B1082" s="1" t="s">
        <v>3073</v>
      </c>
      <c r="C1082" s="1" t="s">
        <v>13</v>
      </c>
      <c r="D1082" s="1">
        <v>13.9581334</v>
      </c>
      <c r="E1082" s="1">
        <v>121.3563176</v>
      </c>
      <c r="F1082" s="1" t="s">
        <v>3074</v>
      </c>
      <c r="G1082" s="3" t="str">
        <f>IFERROR(__xludf.DUMMYFUNCTION("IF(REGEXMATCH(F1082, ""(?:.*,\s*)?([^,]+),\s*([^,]+),\s*Philippines.*""), TRIM(REGEXREPLACE(REGEXREPLACE(F1082, ""(?:.*,\s*)?([^,]+),\s*([^,]+),\s*Philippines.*"", ""$1, $2""), ""\d+"", """")), """")"),"Tiaong, Quezon")</f>
        <v>Tiaong, Quezon</v>
      </c>
    </row>
    <row r="1083">
      <c r="A1083" s="1" t="s">
        <v>3075</v>
      </c>
      <c r="B1083" s="1" t="s">
        <v>3076</v>
      </c>
      <c r="C1083" s="1" t="s">
        <v>13</v>
      </c>
      <c r="D1083" s="1">
        <v>14.092921</v>
      </c>
      <c r="E1083" s="1">
        <v>121.0157646</v>
      </c>
      <c r="F1083" s="1" t="s">
        <v>3077</v>
      </c>
      <c r="G1083" s="3" t="str">
        <f>IFERROR(__xludf.DUMMYFUNCTION("IF(REGEXMATCH(F1083, ""(?:.*,\s*)?([^,]+),\s*([^,]+),\s*Philippines.*""), TRIM(REGEXREPLACE(REGEXREPLACE(F1083, ""(?:.*,\s*)?([^,]+),\s*([^,]+),\s*Philippines.*"", ""$1, $2""), ""\d+"", """")), """")"),"Talisay, Batangas")</f>
        <v>Talisay, Batangas</v>
      </c>
    </row>
    <row r="1084">
      <c r="A1084" s="1" t="s">
        <v>3078</v>
      </c>
      <c r="B1084" s="1" t="s">
        <v>3079</v>
      </c>
      <c r="C1084" s="1" t="s">
        <v>9</v>
      </c>
      <c r="D1084" s="1">
        <v>14.0924763</v>
      </c>
      <c r="E1084" s="1">
        <v>121.0281416</v>
      </c>
      <c r="F1084" s="1" t="s">
        <v>3080</v>
      </c>
      <c r="G1084" s="3" t="str">
        <f>IFERROR(__xludf.DUMMYFUNCTION("IF(REGEXMATCH(F1084, ""(?:.*,\s*)?([^,]+),\s*([^,]+),\s*Philippines.*""), TRIM(REGEXREPLACE(REGEXREPLACE(F1084, ""(?:.*,\s*)?([^,]+),\s*([^,]+),\s*Philippines.*"", ""$1, $2""), ""\d+"", """")), """")"),"Talisay, Batangas")</f>
        <v>Talisay, Batangas</v>
      </c>
    </row>
    <row r="1085">
      <c r="A1085" s="1" t="s">
        <v>3081</v>
      </c>
      <c r="B1085" s="1" t="s">
        <v>3082</v>
      </c>
      <c r="C1085" s="1" t="s">
        <v>13</v>
      </c>
      <c r="D1085" s="1">
        <v>14.1407736</v>
      </c>
      <c r="E1085" s="1">
        <v>120.9429826</v>
      </c>
      <c r="F1085" s="1" t="s">
        <v>3083</v>
      </c>
      <c r="G1085" s="3" t="str">
        <f>IFERROR(__xludf.DUMMYFUNCTION("IF(REGEXMATCH(F1085, ""(?:.*,\s*)?([^,]+),\s*([^,]+),\s*Philippines.*""), TRIM(REGEXREPLACE(REGEXREPLACE(F1085, ""(?:.*,\s*)?([^,]+),\s*([^,]+),\s*Philippines.*"", ""$1, $2""), ""\d+"", """")), """")"),"Amadeo, Cavite")</f>
        <v>Amadeo, Cavite</v>
      </c>
    </row>
    <row r="1086">
      <c r="A1086" s="1" t="s">
        <v>3084</v>
      </c>
      <c r="B1086" s="1" t="s">
        <v>3085</v>
      </c>
      <c r="C1086" s="1" t="s">
        <v>13</v>
      </c>
      <c r="D1086" s="1">
        <v>13.7342081</v>
      </c>
      <c r="E1086" s="1">
        <v>121.1452643</v>
      </c>
      <c r="F1086" s="1" t="s">
        <v>3086</v>
      </c>
      <c r="G1086" s="3" t="str">
        <f>IFERROR(__xludf.DUMMYFUNCTION("IF(REGEXMATCH(F1086, ""(?:.*,\s*)?([^,]+),\s*([^,]+),\s*Philippines.*""), TRIM(REGEXREPLACE(REGEXREPLACE(F1086, ""(?:.*,\s*)?([^,]+),\s*([^,]+),\s*Philippines.*"", ""$1, $2""), ""\d+"", """")), """")"),"Batangas City, Batangas")</f>
        <v>Batangas City, Batangas</v>
      </c>
    </row>
    <row r="1087">
      <c r="A1087" s="1" t="s">
        <v>3087</v>
      </c>
      <c r="B1087" s="1" t="s">
        <v>3088</v>
      </c>
      <c r="C1087" s="1" t="s">
        <v>13</v>
      </c>
      <c r="D1087" s="1">
        <v>14.8559382</v>
      </c>
      <c r="E1087" s="1">
        <v>121.8904136</v>
      </c>
      <c r="F1087" s="1" t="s">
        <v>3089</v>
      </c>
      <c r="G1087" s="3" t="str">
        <f>IFERROR(__xludf.DUMMYFUNCTION("IF(REGEXMATCH(F1087, ""(?:.*,\s*)?([^,]+),\s*([^,]+),\s*Philippines.*""), TRIM(REGEXREPLACE(REGEXREPLACE(F1087, ""(?:.*,\s*)?([^,]+),\s*([^,]+),\s*Philippines.*"", ""$1, $2""), ""\d+"", """")), """")"),"Polillo, Quezon")</f>
        <v>Polillo, Quezon</v>
      </c>
    </row>
    <row r="1088">
      <c r="A1088" s="1" t="s">
        <v>3090</v>
      </c>
      <c r="B1088" s="1" t="s">
        <v>3091</v>
      </c>
      <c r="C1088" s="1" t="s">
        <v>9</v>
      </c>
      <c r="D1088" s="1">
        <v>14.087737</v>
      </c>
      <c r="E1088" s="1">
        <v>121.1451053</v>
      </c>
      <c r="F1088" s="1" t="s">
        <v>3092</v>
      </c>
      <c r="G1088" s="3" t="str">
        <f>IFERROR(__xludf.DUMMYFUNCTION("IF(REGEXMATCH(F1088, ""(?:.*,\s*)?([^,]+),\s*([^,]+),\s*Philippines.*""), TRIM(REGEXREPLACE(REGEXREPLACE(F1088, ""(?:.*,\s*)?([^,]+),\s*([^,]+),\s*Philippines.*"", ""$1, $2""), ""\d+"", """")), """")"),"Tanauan City, Batangas")</f>
        <v>Tanauan City, Batangas</v>
      </c>
    </row>
    <row r="1089">
      <c r="A1089" s="1" t="s">
        <v>3093</v>
      </c>
      <c r="B1089" s="1" t="s">
        <v>3091</v>
      </c>
      <c r="C1089" s="1" t="s">
        <v>13</v>
      </c>
      <c r="D1089" s="1">
        <v>14.0875093</v>
      </c>
      <c r="E1089" s="1">
        <v>121.1446993</v>
      </c>
      <c r="F1089" s="1" t="s">
        <v>3094</v>
      </c>
      <c r="G1089" s="3" t="str">
        <f>IFERROR(__xludf.DUMMYFUNCTION("IF(REGEXMATCH(F1089, ""(?:.*,\s*)?([^,]+),\s*([^,]+),\s*Philippines.*""), TRIM(REGEXREPLACE(REGEXREPLACE(F1089, ""(?:.*,\s*)?([^,]+),\s*([^,]+),\s*Philippines.*"", ""$1, $2""), ""\d+"", """")), """")"),"Tanauan City, Batangas")</f>
        <v>Tanauan City, Batangas</v>
      </c>
    </row>
    <row r="1090">
      <c r="A1090" s="1" t="s">
        <v>3095</v>
      </c>
      <c r="B1090" s="1" t="s">
        <v>3096</v>
      </c>
      <c r="C1090" s="1" t="s">
        <v>13</v>
      </c>
      <c r="D1090" s="1">
        <v>14.087284</v>
      </c>
      <c r="E1090" s="1">
        <v>121.0645036</v>
      </c>
      <c r="F1090" s="1" t="s">
        <v>3097</v>
      </c>
      <c r="G1090" s="3" t="str">
        <f>IFERROR(__xludf.DUMMYFUNCTION("IF(REGEXMATCH(F1090, ""(?:.*,\s*)?([^,]+),\s*([^,]+),\s*Philippines.*""), TRIM(REGEXREPLACE(REGEXREPLACE(F1090, ""(?:.*,\s*)?([^,]+),\s*([^,]+),\s*Philippines.*"", ""$1, $2""), ""\d+"", """")), """")"),"Tanauan City, Batangas")</f>
        <v>Tanauan City, Batangas</v>
      </c>
    </row>
    <row r="1091">
      <c r="A1091" s="1" t="s">
        <v>3098</v>
      </c>
      <c r="B1091" s="1" t="s">
        <v>3099</v>
      </c>
      <c r="C1091" s="1" t="s">
        <v>13</v>
      </c>
      <c r="D1091" s="1">
        <v>14.5246844</v>
      </c>
      <c r="E1091" s="1">
        <v>121.3281155</v>
      </c>
      <c r="F1091" s="1" t="s">
        <v>3100</v>
      </c>
      <c r="G1091" s="3" t="str">
        <f>IFERROR(__xludf.DUMMYFUNCTION("IF(REGEXMATCH(F1091, ""(?:.*,\s*)?([^,]+),\s*([^,]+),\s*Philippines.*""), TRIM(REGEXREPLACE(REGEXREPLACE(F1091, ""(?:.*,\s*)?([^,]+),\s*([^,]+),\s*Philippines.*"", ""$1, $2""), ""\d+"", """")), """")"),"Tanay, Rizal")</f>
        <v>Tanay, Rizal</v>
      </c>
    </row>
    <row r="1092">
      <c r="A1092" s="1" t="s">
        <v>3101</v>
      </c>
      <c r="B1092" s="1" t="s">
        <v>3102</v>
      </c>
      <c r="C1092" s="1" t="s">
        <v>13</v>
      </c>
      <c r="D1092" s="1">
        <v>14.534888</v>
      </c>
      <c r="E1092" s="1">
        <v>121.360098</v>
      </c>
      <c r="F1092" s="1" t="s">
        <v>2462</v>
      </c>
      <c r="G1092" s="3" t="str">
        <f>IFERROR(__xludf.DUMMYFUNCTION("IF(REGEXMATCH(F1092, ""(?:.*,\s*)?([^,]+),\s*([^,]+),\s*Philippines.*""), TRIM(REGEXREPLACE(REGEXREPLACE(F1092, ""(?:.*,\s*)?([^,]+),\s*([^,]+),\s*Philippines.*"", ""$1, $2""), ""\d+"", """")), """")"),"Tanay, Rizal")</f>
        <v>Tanay, Rizal</v>
      </c>
    </row>
    <row r="1093">
      <c r="A1093" s="1" t="s">
        <v>3103</v>
      </c>
      <c r="B1093" s="1" t="s">
        <v>3104</v>
      </c>
      <c r="C1093" s="1" t="s">
        <v>9</v>
      </c>
      <c r="D1093" s="1">
        <v>14.5195463</v>
      </c>
      <c r="E1093" s="1">
        <v>121.2939857</v>
      </c>
      <c r="F1093" s="1" t="s">
        <v>3105</v>
      </c>
      <c r="G1093" s="3" t="str">
        <f>IFERROR(__xludf.DUMMYFUNCTION("IF(REGEXMATCH(F1093, ""(?:.*,\s*)?([^,]+),\s*([^,]+),\s*Philippines.*""), TRIM(REGEXREPLACE(REGEXREPLACE(F1093, ""(?:.*,\s*)?([^,]+),\s*([^,]+),\s*Philippines.*"", ""$1, $2""), ""\d+"", """")), """")"),"Tanay, Rizal")</f>
        <v>Tanay, Rizal</v>
      </c>
    </row>
    <row r="1094">
      <c r="A1094" s="1" t="s">
        <v>3106</v>
      </c>
      <c r="B1094" s="1" t="s">
        <v>3107</v>
      </c>
      <c r="C1094" s="1" t="s">
        <v>13</v>
      </c>
      <c r="D1094" s="1">
        <v>14.614188</v>
      </c>
      <c r="E1094" s="1">
        <v>121.3770336</v>
      </c>
      <c r="F1094" s="1" t="s">
        <v>3108</v>
      </c>
      <c r="G1094" s="3" t="str">
        <f>IFERROR(__xludf.DUMMYFUNCTION("IF(REGEXMATCH(F1094, ""(?:.*,\s*)?([^,]+),\s*([^,]+),\s*Philippines.*""), TRIM(REGEXREPLACE(REGEXREPLACE(F1094, ""(?:.*,\s*)?([^,]+),\s*([^,]+),\s*Philippines.*"", ""$1, $2""), ""\d+"", """")), """")"),"Tanay, Rizal")</f>
        <v>Tanay, Rizal</v>
      </c>
    </row>
    <row r="1095">
      <c r="A1095" s="1" t="s">
        <v>3109</v>
      </c>
      <c r="B1095" s="1" t="s">
        <v>3110</v>
      </c>
      <c r="C1095" s="1" t="s">
        <v>13</v>
      </c>
      <c r="D1095" s="1">
        <v>14.3962772</v>
      </c>
      <c r="E1095" s="1">
        <v>120.8536267</v>
      </c>
      <c r="F1095" s="1" t="s">
        <v>3111</v>
      </c>
      <c r="G1095" s="3" t="str">
        <f>IFERROR(__xludf.DUMMYFUNCTION("IF(REGEXMATCH(F1095, ""(?:.*,\s*)?([^,]+),\s*([^,]+),\s*Philippines.*""), TRIM(REGEXREPLACE(REGEXREPLACE(F1095, ""(?:.*,\s*)?([^,]+),\s*([^,]+),\s*Philippines.*"", ""$1, $2""), ""\d+"", """")), """")"),"Tanza, Cavite")</f>
        <v>Tanza, Cavite</v>
      </c>
    </row>
    <row r="1096">
      <c r="A1096" s="1" t="s">
        <v>3112</v>
      </c>
      <c r="B1096" s="1" t="s">
        <v>3113</v>
      </c>
      <c r="C1096" s="1" t="s">
        <v>13</v>
      </c>
      <c r="D1096" s="1">
        <v>14.3186466</v>
      </c>
      <c r="E1096" s="1">
        <v>120.8601173</v>
      </c>
      <c r="F1096" s="1" t="s">
        <v>3114</v>
      </c>
      <c r="G1096" s="3" t="str">
        <f>IFERROR(__xludf.DUMMYFUNCTION("IF(REGEXMATCH(F1096, ""(?:.*,\s*)?([^,]+),\s*([^,]+),\s*Philippines.*""), TRIM(REGEXREPLACE(REGEXREPLACE(F1096, ""(?:.*,\s*)?([^,]+),\s*([^,]+),\s*Philippines.*"", ""$1, $2""), ""\d+"", """")), """")"),"Tanza, Cavite")</f>
        <v>Tanza, Cavite</v>
      </c>
    </row>
    <row r="1097">
      <c r="A1097" s="1" t="s">
        <v>3115</v>
      </c>
      <c r="B1097" s="1" t="s">
        <v>3116</v>
      </c>
      <c r="C1097" s="1" t="s">
        <v>13</v>
      </c>
      <c r="D1097" s="1">
        <v>13.8835468</v>
      </c>
      <c r="E1097" s="1">
        <v>121.0985947</v>
      </c>
      <c r="F1097" s="1" t="s">
        <v>3117</v>
      </c>
      <c r="G1097" s="3" t="str">
        <f>IFERROR(__xludf.DUMMYFUNCTION("IF(REGEXMATCH(F1097, ""(?:.*,\s*)?([^,]+),\s*([^,]+),\s*Philippines.*""), TRIM(REGEXREPLACE(REGEXREPLACE(F1097, ""(?:.*,\s*)?([^,]+),\s*([^,]+),\s*Philippines.*"", ""$1, $2""), ""\d+"", """")), """")"),"San Jose, Batangas")</f>
        <v>San Jose, Batangas</v>
      </c>
    </row>
    <row r="1098">
      <c r="A1098" s="1" t="s">
        <v>3118</v>
      </c>
      <c r="B1098" s="1" t="s">
        <v>3119</v>
      </c>
      <c r="C1098" s="1" t="s">
        <v>9</v>
      </c>
      <c r="D1098" s="1">
        <v>13.793105</v>
      </c>
      <c r="E1098" s="1">
        <v>121.1920632</v>
      </c>
      <c r="F1098" s="1" t="s">
        <v>3120</v>
      </c>
      <c r="G1098" s="3" t="str">
        <f>IFERROR(__xludf.DUMMYFUNCTION("IF(REGEXMATCH(F1098, ""(?:.*,\s*)?([^,]+),\s*([^,]+),\s*Philippines.*""), TRIM(REGEXREPLACE(REGEXREPLACE(F1098, ""(?:.*,\s*)?([^,]+),\s*([^,]+),\s*Philippines.*"", ""$1, $2""), ""\d+"", """")), """")"),"Taysan, Batangas")</f>
        <v>Taysan, Batangas</v>
      </c>
    </row>
    <row r="1099">
      <c r="A1099" s="1" t="s">
        <v>3121</v>
      </c>
      <c r="B1099" s="1" t="s">
        <v>3122</v>
      </c>
      <c r="C1099" s="1" t="s">
        <v>13</v>
      </c>
      <c r="D1099" s="1">
        <v>14.5528807</v>
      </c>
      <c r="E1099" s="1">
        <v>121.125706</v>
      </c>
      <c r="F1099" s="1" t="s">
        <v>3123</v>
      </c>
      <c r="G1099" s="3" t="str">
        <f>IFERROR(__xludf.DUMMYFUNCTION("IF(REGEXMATCH(F1099, ""(?:.*,\s*)?([^,]+),\s*([^,]+),\s*Philippines.*""), TRIM(REGEXREPLACE(REGEXREPLACE(F1099, ""(?:.*,\s*)?([^,]+),\s*([^,]+),\s*Philippines.*"", ""$1, $2""), ""\d+"", """")), """")"),"Taytay, Rizal")</f>
        <v>Taytay, Rizal</v>
      </c>
    </row>
    <row r="1100">
      <c r="A1100" s="1" t="s">
        <v>3124</v>
      </c>
      <c r="B1100" s="1" t="s">
        <v>3125</v>
      </c>
      <c r="C1100" s="1" t="s">
        <v>9</v>
      </c>
      <c r="D1100" s="1">
        <v>14.5671648</v>
      </c>
      <c r="E1100" s="1">
        <v>121.1335806</v>
      </c>
      <c r="F1100" s="1" t="s">
        <v>3126</v>
      </c>
      <c r="G1100" s="3" t="str">
        <f>IFERROR(__xludf.DUMMYFUNCTION("IF(REGEXMATCH(F1100, ""(?:.*,\s*)?([^,]+),\s*([^,]+),\s*Philippines.*""), TRIM(REGEXREPLACE(REGEXREPLACE(F1100, ""(?:.*,\s*)?([^,]+),\s*([^,]+),\s*Philippines.*"", ""$1, $2""), ""\d+"", """")), """")"),"Taytay, Rizal")</f>
        <v>Taytay, Rizal</v>
      </c>
    </row>
    <row r="1101">
      <c r="A1101" s="1" t="s">
        <v>3127</v>
      </c>
      <c r="B1101" s="1" t="s">
        <v>3128</v>
      </c>
      <c r="C1101" s="1" t="s">
        <v>9</v>
      </c>
      <c r="D1101" s="1">
        <v>14.3450539</v>
      </c>
      <c r="E1101" s="1">
        <v>120.9661019</v>
      </c>
      <c r="F1101" s="1" t="s">
        <v>3129</v>
      </c>
      <c r="G1101" s="3" t="str">
        <f>IFERROR(__xludf.DUMMYFUNCTION("IF(REGEXMATCH(F1101, ""(?:.*,\s*)?([^,]+),\s*([^,]+),\s*Philippines.*""), TRIM(REGEXREPLACE(REGEXREPLACE(F1101, ""(?:.*,\s*)?([^,]+),\s*([^,]+),\s*Philippines.*"", ""$1, $2""), ""\d+"", """")), """")"),"Dasmariñas, Cavite")</f>
        <v>Dasmariñas, Cavite</v>
      </c>
    </row>
    <row r="1102">
      <c r="A1102" s="1" t="s">
        <v>3130</v>
      </c>
      <c r="B1102" s="1" t="s">
        <v>3131</v>
      </c>
      <c r="C1102" s="1" t="s">
        <v>9</v>
      </c>
      <c r="D1102" s="1">
        <v>14.5868729</v>
      </c>
      <c r="E1102" s="1">
        <v>121.175657</v>
      </c>
      <c r="F1102" s="1" t="s">
        <v>3132</v>
      </c>
      <c r="G1102" s="3" t="str">
        <f>IFERROR(__xludf.DUMMYFUNCTION("IF(REGEXMATCH(F1102, ""(?:.*,\s*)?([^,]+),\s*([^,]+),\s*Philippines.*""), TRIM(REGEXREPLACE(REGEXREPLACE(F1102, ""(?:.*,\s*)?([^,]+),\s*([^,]+),\s*Philippines.*"", ""$1, $2""), ""\d+"", """")), """")"),"Antipolo, Rizal")</f>
        <v>Antipolo, Rizal</v>
      </c>
    </row>
    <row r="1103">
      <c r="A1103" s="1" t="s">
        <v>3133</v>
      </c>
      <c r="B1103" s="1" t="s">
        <v>580</v>
      </c>
      <c r="C1103" s="1" t="s">
        <v>9</v>
      </c>
      <c r="D1103" s="1">
        <v>13.8446025</v>
      </c>
      <c r="E1103" s="1">
        <v>121.200241</v>
      </c>
      <c r="F1103" s="1" t="s">
        <v>3134</v>
      </c>
      <c r="G1103" s="3" t="str">
        <f>IFERROR(__xludf.DUMMYFUNCTION("IF(REGEXMATCH(F1103, ""(?:.*,\s*)?([^,]+),\s*([^,]+),\s*Philippines.*""), TRIM(REGEXREPLACE(REGEXREPLACE(F1103, ""(?:.*,\s*)?([^,]+),\s*([^,]+),\s*Philippines.*"", ""$1, $2""), ""\d+"", """")), """")"),"Rosario, Batangas")</f>
        <v>Rosario, Batangas</v>
      </c>
    </row>
    <row r="1104">
      <c r="A1104" s="1" t="s">
        <v>3135</v>
      </c>
      <c r="B1104" s="1" t="s">
        <v>3136</v>
      </c>
      <c r="C1104" s="1" t="s">
        <v>13</v>
      </c>
      <c r="D1104" s="1">
        <v>14.5499059</v>
      </c>
      <c r="E1104" s="1">
        <v>121.2191067</v>
      </c>
      <c r="F1104" s="1" t="s">
        <v>3137</v>
      </c>
      <c r="G1104" s="3" t="str">
        <f>IFERROR(__xludf.DUMMYFUNCTION("IF(REGEXMATCH(F1104, ""(?:.*,\s*)?([^,]+),\s*([^,]+),\s*Philippines.*""), TRIM(REGEXREPLACE(REGEXREPLACE(F1104, ""(?:.*,\s*)?([^,]+),\s*([^,]+),\s*Philippines.*"", ""$1, $2""), ""\d+"", """")), """")"),"Teresa, Rizal")</f>
        <v>Teresa, Rizal</v>
      </c>
    </row>
    <row r="1105">
      <c r="A1105" s="1" t="s">
        <v>3138</v>
      </c>
      <c r="B1105" s="1" t="s">
        <v>3139</v>
      </c>
      <c r="C1105" s="1" t="s">
        <v>13</v>
      </c>
      <c r="D1105" s="1">
        <v>14.2846765</v>
      </c>
      <c r="E1105" s="1">
        <v>120.7192856</v>
      </c>
      <c r="F1105" s="1" t="s">
        <v>3140</v>
      </c>
      <c r="G1105" s="3" t="str">
        <f>IFERROR(__xludf.DUMMYFUNCTION("IF(REGEXMATCH(F1105, ""(?:.*,\s*)?([^,]+),\s*([^,]+),\s*Philippines.*""), TRIM(REGEXREPLACE(REGEXREPLACE(F1105, ""(?:.*,\s*)?([^,]+),\s*([^,]+),\s*Philippines.*"", ""$1, $2""), ""\d+"", """")), """")"),"Ternate, Cavite")</f>
        <v>Ternate, Cavite</v>
      </c>
    </row>
    <row r="1106">
      <c r="A1106" s="1" t="s">
        <v>3141</v>
      </c>
      <c r="B1106" s="1" t="s">
        <v>3142</v>
      </c>
      <c r="C1106" s="1" t="s">
        <v>13</v>
      </c>
      <c r="D1106" s="1">
        <v>14.2837447</v>
      </c>
      <c r="E1106" s="1">
        <v>120.7087103</v>
      </c>
      <c r="F1106" s="1" t="s">
        <v>3143</v>
      </c>
      <c r="G1106" s="3" t="str">
        <f>IFERROR(__xludf.DUMMYFUNCTION("IF(REGEXMATCH(F1106, ""(?:.*,\s*)?([^,]+),\s*([^,]+),\s*Philippines.*""), TRIM(REGEXREPLACE(REGEXREPLACE(F1106, ""(?:.*,\s*)?([^,]+),\s*([^,]+),\s*Philippines.*"", ""$1, $2""), ""\d+"", """")), """")"),"Ternate, Cavite")</f>
        <v>Ternate, Cavite</v>
      </c>
    </row>
    <row r="1107">
      <c r="A1107" s="1" t="s">
        <v>3144</v>
      </c>
      <c r="B1107" s="1" t="s">
        <v>3145</v>
      </c>
      <c r="C1107" s="1" t="s">
        <v>13</v>
      </c>
      <c r="D1107" s="1">
        <v>14.2549593</v>
      </c>
      <c r="E1107" s="1">
        <v>121.0378225</v>
      </c>
      <c r="F1107" s="1" t="s">
        <v>3146</v>
      </c>
      <c r="G1107" s="3" t="str">
        <f>IFERROR(__xludf.DUMMYFUNCTION("IF(REGEXMATCH(F1107, ""(?:.*,\s*)?([^,]+),\s*([^,]+),\s*Philippines.*""), TRIM(REGEXREPLACE(REGEXREPLACE(F1107, ""(?:.*,\s*)?([^,]+),\s*([^,]+),\s*Philippines.*"", ""$1, $2""), ""\d+"", """")), """")"),"Biñan, Laguna")</f>
        <v>Biñan, Laguna</v>
      </c>
    </row>
    <row r="1108">
      <c r="A1108" s="1" t="s">
        <v>3147</v>
      </c>
      <c r="B1108" s="1" t="s">
        <v>3148</v>
      </c>
      <c r="C1108" s="1" t="s">
        <v>13</v>
      </c>
      <c r="D1108" s="1">
        <v>14.4188275</v>
      </c>
      <c r="E1108" s="1">
        <v>120.9748467</v>
      </c>
      <c r="F1108" s="1" t="s">
        <v>3149</v>
      </c>
      <c r="G1108" s="3" t="str">
        <f>IFERROR(__xludf.DUMMYFUNCTION("IF(REGEXMATCH(F1108, ""(?:.*,\s*)?([^,]+),\s*([^,]+),\s*Philippines.*""), TRIM(REGEXREPLACE(REGEXREPLACE(F1108, ""(?:.*,\s*)?([^,]+),\s*([^,]+),\s*Philippines.*"", ""$1, $2""), ""\d+"", """")), """")"),"Bacoor, Cavite")</f>
        <v>Bacoor, Cavite</v>
      </c>
    </row>
    <row r="1109">
      <c r="A1109" s="1" t="s">
        <v>3150</v>
      </c>
      <c r="B1109" s="1" t="s">
        <v>3151</v>
      </c>
      <c r="C1109" s="1" t="s">
        <v>9</v>
      </c>
      <c r="D1109" s="1">
        <v>14.1036003</v>
      </c>
      <c r="E1109" s="1">
        <v>120.9406598</v>
      </c>
      <c r="F1109" s="1" t="s">
        <v>626</v>
      </c>
      <c r="G1109" s="3" t="str">
        <f>IFERROR(__xludf.DUMMYFUNCTION("IF(REGEXMATCH(F1109, ""(?:.*,\s*)?([^,]+),\s*([^,]+),\s*Philippines.*""), TRIM(REGEXREPLACE(REGEXREPLACE(F1109, ""(?:.*,\s*)?([^,]+),\s*([^,]+),\s*Philippines.*"", ""$1, $2""), ""\d+"", """")), """")"),"Tagaytay City, Cavite")</f>
        <v>Tagaytay City, Cavite</v>
      </c>
    </row>
    <row r="1110">
      <c r="A1110" s="1" t="s">
        <v>3152</v>
      </c>
      <c r="B1110" s="1" t="s">
        <v>3153</v>
      </c>
      <c r="C1110" s="1" t="s">
        <v>9</v>
      </c>
      <c r="D1110" s="1">
        <v>14.3081946</v>
      </c>
      <c r="E1110" s="1">
        <v>120.9337449</v>
      </c>
      <c r="F1110" s="1" t="s">
        <v>3154</v>
      </c>
      <c r="G1110" s="3" t="str">
        <f>IFERROR(__xludf.DUMMYFUNCTION("IF(REGEXMATCH(F1110, ""(?:.*,\s*)?([^,]+),\s*([^,]+),\s*Philippines.*""), TRIM(REGEXREPLACE(REGEXREPLACE(F1110, ""(?:.*,\s*)?([^,]+),\s*([^,]+),\s*Philippines.*"", ""$1, $2""), ""\d+"", """")), """")"),"Dasmariñas, Cavite")</f>
        <v>Dasmariñas, Cavite</v>
      </c>
    </row>
    <row r="1111">
      <c r="A1111" s="1" t="s">
        <v>3155</v>
      </c>
      <c r="B1111" s="1" t="s">
        <v>3156</v>
      </c>
      <c r="C1111" s="1" t="s">
        <v>9</v>
      </c>
      <c r="D1111" s="1">
        <v>14.2816089</v>
      </c>
      <c r="E1111" s="1">
        <v>121.4157125</v>
      </c>
      <c r="F1111" s="1" t="s">
        <v>2317</v>
      </c>
      <c r="G1111" s="3" t="str">
        <f>IFERROR(__xludf.DUMMYFUNCTION("IF(REGEXMATCH(F1111, ""(?:.*,\s*)?([^,]+),\s*([^,]+),\s*Philippines.*""), TRIM(REGEXREPLACE(REGEXREPLACE(F1111, ""(?:.*,\s*)?([^,]+),\s*([^,]+),\s*Philippines.*"", ""$1, $2""), ""\d+"", """")), """")"),"Santa Cruz, Laguna")</f>
        <v>Santa Cruz, Laguna</v>
      </c>
    </row>
    <row r="1112">
      <c r="A1112" s="1" t="s">
        <v>3157</v>
      </c>
      <c r="B1112" s="1" t="s">
        <v>3158</v>
      </c>
      <c r="C1112" s="1" t="s">
        <v>9</v>
      </c>
      <c r="D1112" s="1">
        <v>14.4234707</v>
      </c>
      <c r="E1112" s="1">
        <v>120.9651043</v>
      </c>
      <c r="F1112" s="1" t="s">
        <v>3159</v>
      </c>
      <c r="G1112" s="3" t="str">
        <f>IFERROR(__xludf.DUMMYFUNCTION("IF(REGEXMATCH(F1112, ""(?:.*,\s*)?([^,]+),\s*([^,]+),\s*Philippines.*""), TRIM(REGEXREPLACE(REGEXREPLACE(F1112, ""(?:.*,\s*)?([^,]+),\s*([^,]+),\s*Philippines.*"", ""$1, $2""), ""\d+"", """")), """")"),"Bacoor, Cavite")</f>
        <v>Bacoor, Cavite</v>
      </c>
    </row>
    <row r="1113">
      <c r="A1113" s="1" t="s">
        <v>3160</v>
      </c>
      <c r="B1113" s="1" t="s">
        <v>2106</v>
      </c>
      <c r="C1113" s="1" t="s">
        <v>9</v>
      </c>
      <c r="D1113" s="1">
        <v>12.1856365</v>
      </c>
      <c r="E1113" s="1">
        <v>124.4078297</v>
      </c>
      <c r="F1113" s="1" t="s">
        <v>2107</v>
      </c>
      <c r="G1113" s="3" t="str">
        <f>IFERROR(__xludf.DUMMYFUNCTION("IF(REGEXMATCH(F1113, ""(?:.*,\s*)?([^,]+),\s*([^,]+),\s*Philippines.*""), TRIM(REGEXREPLACE(REGEXREPLACE(F1113, ""(?:.*,\s*)?([^,]+),\s*([^,]+),\s*Philippines.*"", ""$1, $2""), ""\d+"", """")), """")"),"Calbayog, Samar")</f>
        <v>Calbayog, Samar</v>
      </c>
    </row>
    <row r="1114">
      <c r="A1114" s="1" t="s">
        <v>3161</v>
      </c>
      <c r="B1114" s="1" t="s">
        <v>3162</v>
      </c>
      <c r="C1114" s="1" t="s">
        <v>13</v>
      </c>
      <c r="D1114" s="1">
        <v>13.8076867</v>
      </c>
      <c r="E1114" s="1">
        <v>121.0893499</v>
      </c>
      <c r="F1114" s="1" t="s">
        <v>3163</v>
      </c>
      <c r="G1114" s="3" t="str">
        <f>IFERROR(__xludf.DUMMYFUNCTION("IF(REGEXMATCH(F1114, ""(?:.*,\s*)?([^,]+),\s*([^,]+),\s*Philippines.*""), TRIM(REGEXREPLACE(REGEXREPLACE(F1114, ""(?:.*,\s*)?([^,]+),\s*([^,]+),\s*Philippines.*"", ""$1, $2""), ""\d+"", """")), """")"),"Batangas City, Batangas")</f>
        <v>Batangas City, Batangas</v>
      </c>
    </row>
    <row r="1115">
      <c r="A1115" s="1" t="s">
        <v>3164</v>
      </c>
      <c r="B1115" s="1" t="s">
        <v>3165</v>
      </c>
      <c r="C1115" s="1" t="s">
        <v>9</v>
      </c>
      <c r="D1115" s="1">
        <v>13.655986</v>
      </c>
      <c r="E1115" s="1">
        <v>120.8707085</v>
      </c>
      <c r="F1115" s="1" t="s">
        <v>3166</v>
      </c>
      <c r="G1115" s="3" t="str">
        <f>IFERROR(__xludf.DUMMYFUNCTION("IF(REGEXMATCH(F1115, ""(?:.*,\s*)?([^,]+),\s*([^,]+),\s*Philippines.*""), TRIM(REGEXREPLACE(REGEXREPLACE(F1115, ""(?:.*,\s*)?([^,]+),\s*([^,]+),\s*Philippines.*"", ""$1, $2""), ""\d+"", """")), """")"),"Tingloy, Batangas")</f>
        <v>Tingloy, Batangas</v>
      </c>
    </row>
    <row r="1116">
      <c r="A1116" s="1" t="s">
        <v>3167</v>
      </c>
      <c r="C1116" s="1" t="s">
        <v>13</v>
      </c>
      <c r="D1116" s="1">
        <v>14.0682001</v>
      </c>
      <c r="E1116" s="1">
        <v>122.288002</v>
      </c>
      <c r="F1116" s="1" t="s">
        <v>3168</v>
      </c>
      <c r="G1116" s="3" t="str">
        <f>IFERROR(__xludf.DUMMYFUNCTION("IF(REGEXMATCH(F1116, ""(?:.*,\s*)?([^,]+),\s*([^,]+),\s*Philippines.*""), TRIM(REGEXREPLACE(REGEXREPLACE(F1116, ""(?:.*,\s*)?([^,]+),\s*([^,]+),\s*Philippines.*"", ""$1, $2""), ""\d+"", """")), """")"),"Calauag, Quezon")</f>
        <v>Calauag, Quezon</v>
      </c>
    </row>
    <row r="1117">
      <c r="A1117" s="1" t="s">
        <v>3169</v>
      </c>
      <c r="B1117" s="1" t="s">
        <v>3170</v>
      </c>
      <c r="C1117" s="1" t="s">
        <v>13</v>
      </c>
      <c r="D1117" s="1">
        <v>13.8281082</v>
      </c>
      <c r="E1117" s="1">
        <v>121.4256183</v>
      </c>
      <c r="F1117" s="1" t="s">
        <v>3171</v>
      </c>
      <c r="G1117" s="3" t="str">
        <f>IFERROR(__xludf.DUMMYFUNCTION("IF(REGEXMATCH(F1117, ""(?:.*,\s*)?([^,]+),\s*([^,]+),\s*Philippines.*""), TRIM(REGEXREPLACE(REGEXREPLACE(F1117, ""(?:.*,\s*)?([^,]+),\s*([^,]+),\s*Philippines.*"", ""$1, $2""), ""\d+"", """")), """")"),"San Juan, Batangas")</f>
        <v>San Juan, Batangas</v>
      </c>
    </row>
    <row r="1118">
      <c r="A1118" s="1" t="s">
        <v>3172</v>
      </c>
      <c r="B1118" s="1" t="s">
        <v>3173</v>
      </c>
      <c r="C1118" s="1" t="s">
        <v>13</v>
      </c>
      <c r="D1118" s="1">
        <v>14.7247254</v>
      </c>
      <c r="E1118" s="1">
        <v>121.6197527</v>
      </c>
      <c r="F1118" s="1" t="s">
        <v>3174</v>
      </c>
      <c r="G1118" s="3" t="str">
        <f>IFERROR(__xludf.DUMMYFUNCTION("IF(REGEXMATCH(F1118, ""(?:.*,\s*)?([^,]+),\s*([^,]+),\s*Philippines.*""), TRIM(REGEXREPLACE(REGEXREPLACE(F1118, ""(?:.*,\s*)?([^,]+),\s*([^,]+),\s*Philippines.*"", ""$1, $2""), ""\d+"", """")), """")"),"Infanta, Quezon")</f>
        <v>Infanta, Quezon</v>
      </c>
    </row>
    <row r="1119">
      <c r="A1119" s="1" t="s">
        <v>3175</v>
      </c>
      <c r="B1119" s="1" t="s">
        <v>3176</v>
      </c>
      <c r="C1119" s="1" t="s">
        <v>9</v>
      </c>
      <c r="D1119" s="1">
        <v>14.1772107</v>
      </c>
      <c r="E1119" s="1">
        <v>121.2399073</v>
      </c>
      <c r="F1119" s="1" t="s">
        <v>3177</v>
      </c>
      <c r="G1119" s="3" t="str">
        <f>IFERROR(__xludf.DUMMYFUNCTION("IF(REGEXMATCH(F1119, ""(?:.*,\s*)?([^,]+),\s*([^,]+),\s*Philippines.*""), TRIM(REGEXREPLACE(REGEXREPLACE(F1119, ""(?:.*,\s*)?([^,]+),\s*([^,]+),\s*Philippines.*"", ""$1, $2""), ""\d+"", """")), """")"),"Los Baños, Laguna")</f>
        <v>Los Baños, Laguna</v>
      </c>
    </row>
    <row r="1120">
      <c r="A1120" s="1" t="s">
        <v>3178</v>
      </c>
      <c r="B1120" s="1" t="s">
        <v>3179</v>
      </c>
      <c r="C1120" s="1" t="s">
        <v>9</v>
      </c>
      <c r="D1120" s="1">
        <v>14.282846</v>
      </c>
      <c r="E1120" s="1">
        <v>120.8762409</v>
      </c>
      <c r="F1120" s="1" t="s">
        <v>3180</v>
      </c>
      <c r="G1120" s="3" t="str">
        <f>IFERROR(__xludf.DUMMYFUNCTION("IF(REGEXMATCH(F1120, ""(?:.*,\s*)?([^,]+),\s*([^,]+),\s*Philippines.*""), TRIM(REGEXREPLACE(REGEXREPLACE(F1120, ""(?:.*,\s*)?([^,]+),\s*([^,]+),\s*Philippines.*"", ""$1, $2""), ""\d+"", """")), """")"),"Trece Martires City, Cavite")</f>
        <v>Trece Martires City, Cavite</v>
      </c>
    </row>
    <row r="1121">
      <c r="A1121" s="1" t="s">
        <v>3181</v>
      </c>
      <c r="B1121" s="1" t="s">
        <v>3182</v>
      </c>
      <c r="C1121" s="1" t="s">
        <v>9</v>
      </c>
      <c r="D1121" s="1">
        <v>14.5513437</v>
      </c>
      <c r="E1121" s="1">
        <v>121.139792</v>
      </c>
      <c r="F1121" s="1" t="s">
        <v>3183</v>
      </c>
      <c r="G1121" s="3" t="str">
        <f>IFERROR(__xludf.DUMMYFUNCTION("IF(REGEXMATCH(F1121, ""(?:.*,\s*)?([^,]+),\s*([^,]+),\s*Philippines.*""), TRIM(REGEXREPLACE(REGEXREPLACE(F1121, ""(?:.*,\s*)?([^,]+),\s*([^,]+),\s*Philippines.*"", ""$1, $2""), ""\d+"", """")), """")"),"Taytay, Rizal")</f>
        <v>Taytay, Rizal</v>
      </c>
    </row>
    <row r="1122">
      <c r="A1122" s="1" t="s">
        <v>3184</v>
      </c>
      <c r="B1122" s="1" t="s">
        <v>3185</v>
      </c>
      <c r="C1122" s="1" t="s">
        <v>9</v>
      </c>
      <c r="D1122" s="1">
        <v>14.339063</v>
      </c>
      <c r="E1122" s="1">
        <v>121.0853509</v>
      </c>
      <c r="F1122" s="1" t="s">
        <v>3186</v>
      </c>
      <c r="G1122" s="3" t="str">
        <f>IFERROR(__xludf.DUMMYFUNCTION("IF(REGEXMATCH(F1122, ""(?:.*,\s*)?([^,]+),\s*([^,]+),\s*Philippines.*""), TRIM(REGEXREPLACE(REGEXREPLACE(F1122, ""(?:.*,\s*)?([^,]+),\s*([^,]+),\s*Philippines.*"", ""$1, $2""), ""\d+"", """")), """")"),"Biñan, Laguna")</f>
        <v>Biñan, Laguna</v>
      </c>
    </row>
    <row r="1123">
      <c r="A1123" s="1" t="s">
        <v>3187</v>
      </c>
      <c r="B1123" s="1" t="s">
        <v>3188</v>
      </c>
      <c r="C1123" s="1" t="s">
        <v>13</v>
      </c>
      <c r="D1123" s="1">
        <v>14.3032139</v>
      </c>
      <c r="E1123" s="1">
        <v>120.9176154</v>
      </c>
      <c r="F1123" s="1" t="s">
        <v>3189</v>
      </c>
      <c r="G1123" s="3" t="str">
        <f>IFERROR(__xludf.DUMMYFUNCTION("IF(REGEXMATCH(F1123, ""(?:.*,\s*)?([^,]+),\s*([^,]+),\s*Philippines.*""), TRIM(REGEXREPLACE(REGEXREPLACE(F1123, ""(?:.*,\s*)?([^,]+),\s*([^,]+),\s*Philippines.*"", ""$1, $2""), ""\d+"", """")), """")"),"General Trias, Cavite")</f>
        <v>General Trias, Cavite</v>
      </c>
    </row>
    <row r="1124">
      <c r="A1124" s="1" t="s">
        <v>3190</v>
      </c>
      <c r="B1124" s="1" t="s">
        <v>3191</v>
      </c>
      <c r="C1124" s="1" t="s">
        <v>13</v>
      </c>
      <c r="D1124" s="1">
        <v>14.6856871</v>
      </c>
      <c r="E1124" s="1">
        <v>121.0771637</v>
      </c>
      <c r="F1124" s="1" t="s">
        <v>3192</v>
      </c>
      <c r="G1124" s="3" t="str">
        <f>IFERROR(__xludf.DUMMYFUNCTION("IF(REGEXMATCH(F1124, ""(?:.*,\s*)?([^,]+),\s*([^,]+),\s*Philippines.*""), TRIM(REGEXREPLACE(REGEXREPLACE(F1124, ""(?:.*,\s*)?([^,]+),\s*([^,]+),\s*Philippines.*"", ""$1, $2""), ""\d+"", """")), """")"),"San Francisco (Aurora), Metro Manila")</f>
        <v>San Francisco (Aurora), Metro Manila</v>
      </c>
    </row>
    <row r="1125">
      <c r="A1125" s="1" t="s">
        <v>3193</v>
      </c>
      <c r="B1125" s="1" t="s">
        <v>3194</v>
      </c>
      <c r="C1125" s="1" t="s">
        <v>13</v>
      </c>
      <c r="D1125" s="1">
        <v>14.3258062</v>
      </c>
      <c r="E1125" s="1">
        <v>121.2404389</v>
      </c>
      <c r="F1125" s="1" t="s">
        <v>3195</v>
      </c>
      <c r="G1125" s="3" t="str">
        <f>IFERROR(__xludf.DUMMYFUNCTION("IF(REGEXMATCH(F1125, ""(?:.*,\s*)?([^,]+),\s*([^,]+),\s*Philippines.*""), TRIM(REGEXREPLACE(REGEXREPLACE(F1125, ""(?:.*,\s*)?([^,]+),\s*([^,]+),\s*Philippines.*"", ""$1, $2""), ""\d+"", """")), """")"),"Cardona, Rizal")</f>
        <v>Cardona, Rizal</v>
      </c>
    </row>
    <row r="1126">
      <c r="A1126" s="1" t="s">
        <v>3196</v>
      </c>
      <c r="C1126" s="1" t="s">
        <v>13</v>
      </c>
      <c r="D1126" s="1">
        <v>14.1518841</v>
      </c>
      <c r="E1126" s="1">
        <v>121.2526547</v>
      </c>
      <c r="F1126" s="1" t="s">
        <v>402</v>
      </c>
      <c r="G1126" s="3" t="str">
        <f>IFERROR(__xludf.DUMMYFUNCTION("IF(REGEXMATCH(F1126, ""(?:.*,\s*)?([^,]+),\s*([^,]+),\s*Philippines.*""), TRIM(REGEXREPLACE(REGEXREPLACE(F1126, ""(?:.*,\s*)?([^,]+),\s*([^,]+),\s*Philippines.*"", ""$1, $2""), ""\d+"", """")), """")"),"Los Baños, Laguna")</f>
        <v>Los Baños, Laguna</v>
      </c>
    </row>
    <row r="1127">
      <c r="A1127" s="1" t="s">
        <v>3197</v>
      </c>
      <c r="B1127" s="1" t="s">
        <v>3198</v>
      </c>
      <c r="C1127" s="1" t="s">
        <v>9</v>
      </c>
      <c r="D1127" s="1">
        <v>14.0193849</v>
      </c>
      <c r="E1127" s="1">
        <v>120.7335581</v>
      </c>
      <c r="F1127" s="1" t="s">
        <v>3199</v>
      </c>
      <c r="G1127" s="3" t="str">
        <f>IFERROR(__xludf.DUMMYFUNCTION("IF(REGEXMATCH(F1127, ""(?:.*,\s*)?([^,]+),\s*([^,]+),\s*Philippines.*""), TRIM(REGEXREPLACE(REGEXREPLACE(F1127, ""(?:.*,\s*)?([^,]+),\s*([^,]+),\s*Philippines.*"", ""$1, $2""), ""\d+"", """")), """")"),"Tuy, Batangas")</f>
        <v>Tuy, Batangas</v>
      </c>
    </row>
    <row r="1128">
      <c r="A1128" s="1" t="s">
        <v>3200</v>
      </c>
      <c r="B1128" s="1" t="s">
        <v>3201</v>
      </c>
      <c r="C1128" s="1" t="s">
        <v>13</v>
      </c>
      <c r="D1128" s="1">
        <v>14.6686899</v>
      </c>
      <c r="E1128" s="1">
        <v>121.6069157</v>
      </c>
      <c r="F1128" s="1" t="s">
        <v>3202</v>
      </c>
      <c r="G1128" s="3" t="str">
        <f>IFERROR(__xludf.DUMMYFUNCTION("IF(REGEXMATCH(F1128, ""(?:.*,\s*)?([^,]+),\s*([^,]+),\s*Philippines.*""), TRIM(REGEXREPLACE(REGEXREPLACE(F1128, ""(?:.*,\s*)?([^,]+),\s*([^,]+),\s*Philippines.*"", ""$1, $2""), ""\d+"", """")), """")"),"Real, Quezon")</f>
        <v>Real, Quezon</v>
      </c>
    </row>
    <row r="1129">
      <c r="A1129" s="1" t="s">
        <v>3203</v>
      </c>
      <c r="B1129" s="1" t="s">
        <v>3204</v>
      </c>
      <c r="C1129" s="1" t="s">
        <v>13</v>
      </c>
      <c r="D1129" s="1">
        <v>14.5224473</v>
      </c>
      <c r="E1129" s="1">
        <v>121.5324845</v>
      </c>
      <c r="F1129" s="1" t="s">
        <v>3205</v>
      </c>
      <c r="G1129" s="3" t="str">
        <f>IFERROR(__xludf.DUMMYFUNCTION("IF(REGEXMATCH(F1129, ""(?:.*,\s*)?([^,]+),\s*([^,]+),\s*Philippines.*""), TRIM(REGEXREPLACE(REGEXREPLACE(F1129, ""(?:.*,\s*)?([^,]+),\s*([^,]+),\s*Philippines.*"", ""$1, $2""), ""\d+"", """")), """")"),"Real, Quezon")</f>
        <v>Real, Quezon</v>
      </c>
    </row>
    <row r="1130">
      <c r="A1130" s="1" t="s">
        <v>3206</v>
      </c>
      <c r="B1130" s="1" t="s">
        <v>3207</v>
      </c>
      <c r="C1130" s="1" t="s">
        <v>9</v>
      </c>
      <c r="D1130" s="1">
        <v>14.283369</v>
      </c>
      <c r="E1130" s="1">
        <v>121.416111</v>
      </c>
      <c r="F1130" s="1" t="s">
        <v>3208</v>
      </c>
      <c r="G1130" s="3" t="str">
        <f>IFERROR(__xludf.DUMMYFUNCTION("IF(REGEXMATCH(F1130, ""(?:.*,\s*)?([^,]+),\s*([^,]+),\s*Philippines.*""), TRIM(REGEXREPLACE(REGEXREPLACE(F1130, ""(?:.*,\s*)?([^,]+),\s*([^,]+),\s*Philippines.*"", ""$1, $2""), ""\d+"", """")), """")"),"Santa Cruz, Laguna")</f>
        <v>Santa Cruz, Laguna</v>
      </c>
    </row>
    <row r="1131">
      <c r="A1131" s="1" t="s">
        <v>3209</v>
      </c>
      <c r="B1131" s="1" t="s">
        <v>2921</v>
      </c>
      <c r="C1131" s="1" t="s">
        <v>9</v>
      </c>
      <c r="D1131" s="1">
        <v>14.283369</v>
      </c>
      <c r="E1131" s="1">
        <v>121.416111</v>
      </c>
      <c r="F1131" s="1" t="s">
        <v>3208</v>
      </c>
      <c r="G1131" s="3" t="str">
        <f>IFERROR(__xludf.DUMMYFUNCTION("IF(REGEXMATCH(F1131, ""(?:.*,\s*)?([^,]+),\s*([^,]+),\s*Philippines.*""), TRIM(REGEXREPLACE(REGEXREPLACE(F1131, ""(?:.*,\s*)?([^,]+),\s*([^,]+),\s*Philippines.*"", ""$1, $2""), ""\d+"", """")), """")"),"Santa Cruz, Laguna")</f>
        <v>Santa Cruz, Laguna</v>
      </c>
    </row>
    <row r="1132">
      <c r="A1132" s="1" t="s">
        <v>3210</v>
      </c>
      <c r="B1132" s="1" t="s">
        <v>3211</v>
      </c>
      <c r="C1132" s="1" t="s">
        <v>13</v>
      </c>
      <c r="D1132" s="1">
        <v>13.837423</v>
      </c>
      <c r="E1132" s="1">
        <v>121.9775727</v>
      </c>
      <c r="F1132" s="1" t="s">
        <v>3212</v>
      </c>
      <c r="G1132" s="3" t="str">
        <f>IFERROR(__xludf.DUMMYFUNCTION("IF(REGEXMATCH(F1132, ""(?:.*,\s*)?([^,]+),\s*([^,]+),\s*Philippines.*""), TRIM(REGEXREPLACE(REGEXREPLACE(F1132, ""(?:.*,\s*)?([^,]+),\s*([^,]+),\s*Philippines.*"", ""$1, $2""), ""\d+"", """")), """")"),"Unisan, Quezon")</f>
        <v>Unisan, Quezon</v>
      </c>
    </row>
    <row r="1133">
      <c r="A1133" s="1" t="s">
        <v>3213</v>
      </c>
      <c r="B1133" s="1" t="s">
        <v>3214</v>
      </c>
      <c r="C1133" s="1" t="s">
        <v>13</v>
      </c>
      <c r="D1133" s="1">
        <v>13.9103623</v>
      </c>
      <c r="E1133" s="1">
        <v>120.8569476</v>
      </c>
      <c r="F1133" s="1" t="s">
        <v>3215</v>
      </c>
      <c r="G1133" s="3" t="str">
        <f>IFERROR(__xludf.DUMMYFUNCTION("IF(REGEXMATCH(F1133, ""(?:.*,\s*)?([^,]+),\s*([^,]+),\s*Philippines.*""), TRIM(REGEXREPLACE(REGEXREPLACE(F1133, ""(?:.*,\s*)?([^,]+),\s*([^,]+),\s*Philippines.*"", ""$1, $2""), ""\d+"", """")), """")"),"Lemery, Batangas")</f>
        <v>Lemery, Batangas</v>
      </c>
    </row>
    <row r="1134">
      <c r="A1134" s="1" t="s">
        <v>3216</v>
      </c>
      <c r="B1134" s="1" t="s">
        <v>3217</v>
      </c>
      <c r="C1134" s="1" t="s">
        <v>13</v>
      </c>
      <c r="D1134" s="1">
        <v>13.9691656</v>
      </c>
      <c r="E1134" s="1">
        <v>121.1593787</v>
      </c>
      <c r="F1134" s="1" t="s">
        <v>3218</v>
      </c>
      <c r="G1134" s="3" t="str">
        <f>IFERROR(__xludf.DUMMYFUNCTION("IF(REGEXMATCH(F1134, ""(?:.*,\s*)?([^,]+),\s*([^,]+),\s*Philippines.*""), TRIM(REGEXREPLACE(REGEXREPLACE(F1134, ""(?:.*,\s*)?([^,]+),\s*([^,]+),\s*Philippines.*"", ""$1, $2""), ""\d+"", """")), """")"),"Lipa City, Batangas")</f>
        <v>Lipa City, Batangas</v>
      </c>
    </row>
    <row r="1135">
      <c r="A1135" s="1" t="s">
        <v>3219</v>
      </c>
      <c r="B1135" s="1" t="s">
        <v>3220</v>
      </c>
      <c r="C1135" s="1" t="s">
        <v>9</v>
      </c>
      <c r="D1135" s="1">
        <v>14.2163022</v>
      </c>
      <c r="E1135" s="1">
        <v>121.1358903</v>
      </c>
      <c r="F1135" s="1" t="s">
        <v>3221</v>
      </c>
      <c r="G1135" s="3" t="str">
        <f>IFERROR(__xludf.DUMMYFUNCTION("IF(REGEXMATCH(F1135, ""(?:.*,\s*)?([^,]+),\s*([^,]+),\s*Philippines.*""), TRIM(REGEXREPLACE(REGEXREPLACE(F1135, ""(?:.*,\s*)?([^,]+),\s*([^,]+),\s*Philippines.*"", ""$1, $2""), ""\d+"", """")), """")"),"Calamba, Laguna")</f>
        <v>Calamba, Laguna</v>
      </c>
    </row>
    <row r="1136">
      <c r="A1136" s="1" t="s">
        <v>3222</v>
      </c>
      <c r="B1136" s="1" t="s">
        <v>3223</v>
      </c>
      <c r="C1136" s="1" t="s">
        <v>9</v>
      </c>
      <c r="D1136" s="1">
        <v>14.3311269</v>
      </c>
      <c r="E1136" s="1">
        <v>121.0853931</v>
      </c>
      <c r="F1136" s="1" t="s">
        <v>3224</v>
      </c>
      <c r="G1136" s="3" t="str">
        <f>IFERROR(__xludf.DUMMYFUNCTION("IF(REGEXMATCH(F1136, ""(?:.*,\s*)?([^,]+),\s*([^,]+),\s*Philippines.*""), TRIM(REGEXREPLACE(REGEXREPLACE(F1136, ""(?:.*,\s*)?([^,]+),\s*([^,]+),\s*Philippines.*"", ""$1, $2""), ""\d+"", """")), """")"),"Biñan, Laguna")</f>
        <v>Biñan, Laguna</v>
      </c>
    </row>
    <row r="1137">
      <c r="A1137" s="1" t="s">
        <v>3225</v>
      </c>
      <c r="B1137" s="1" t="s">
        <v>3223</v>
      </c>
      <c r="C1137" s="1" t="s">
        <v>9</v>
      </c>
      <c r="D1137" s="1">
        <v>14.3311269</v>
      </c>
      <c r="E1137" s="1">
        <v>121.0853931</v>
      </c>
      <c r="F1137" s="1" t="s">
        <v>3224</v>
      </c>
      <c r="G1137" s="3" t="str">
        <f>IFERROR(__xludf.DUMMYFUNCTION("IF(REGEXMATCH(F1137, ""(?:.*,\s*)?([^,]+),\s*([^,]+),\s*Philippines.*""), TRIM(REGEXREPLACE(REGEXREPLACE(F1137, ""(?:.*,\s*)?([^,]+),\s*([^,]+),\s*Philippines.*"", ""$1, $2""), ""\d+"", """")), """")"),"Biñan, Laguna")</f>
        <v>Biñan, Laguna</v>
      </c>
    </row>
    <row r="1138">
      <c r="A1138" s="1" t="s">
        <v>3226</v>
      </c>
      <c r="B1138" s="1" t="s">
        <v>3227</v>
      </c>
      <c r="C1138" s="1" t="s">
        <v>9</v>
      </c>
      <c r="D1138" s="1">
        <v>14.5713826</v>
      </c>
      <c r="E1138" s="1">
        <v>121.171387</v>
      </c>
      <c r="F1138" s="1" t="s">
        <v>3228</v>
      </c>
      <c r="G1138" s="3" t="str">
        <f>IFERROR(__xludf.DUMMYFUNCTION("IF(REGEXMATCH(F1138, ""(?:.*,\s*)?([^,]+),\s*([^,]+),\s*Philippines.*""), TRIM(REGEXREPLACE(REGEXREPLACE(F1138, ""(?:.*,\s*)?([^,]+),\s*([^,]+),\s*Philippines.*"", ""$1, $2""), ""\d+"", """")), """")"),"Antipolo, Rizal")</f>
        <v>Antipolo, Rizal</v>
      </c>
    </row>
    <row r="1139">
      <c r="A1139" s="1" t="s">
        <v>3229</v>
      </c>
      <c r="B1139" s="1" t="s">
        <v>3230</v>
      </c>
      <c r="C1139" s="1" t="s">
        <v>766</v>
      </c>
      <c r="D1139" s="1">
        <v>14.516689</v>
      </c>
      <c r="E1139" s="1">
        <v>121.2356227</v>
      </c>
      <c r="F1139" s="1" t="s">
        <v>3231</v>
      </c>
      <c r="G1139" s="3" t="str">
        <f>IFERROR(__xludf.DUMMYFUNCTION("IF(REGEXMATCH(F1139, ""(?:.*,\s*)?([^,]+),\s*([^,]+),\s*Philippines.*""), TRIM(REGEXREPLACE(REGEXREPLACE(F1139, ""(?:.*,\s*)?([^,]+),\s*([^,]+),\s*Philippines.*"", ""$1, $2""), ""\d+"", """")), """")"),"Morong, Rizal")</f>
        <v>Morong, Rizal</v>
      </c>
    </row>
    <row r="1140">
      <c r="A1140" s="1" t="s">
        <v>3232</v>
      </c>
      <c r="B1140" s="1" t="s">
        <v>3233</v>
      </c>
      <c r="C1140" s="1" t="s">
        <v>766</v>
      </c>
      <c r="D1140" s="1">
        <v>14.516689</v>
      </c>
      <c r="E1140" s="1">
        <v>121.2356227</v>
      </c>
      <c r="F1140" s="1" t="s">
        <v>3231</v>
      </c>
      <c r="G1140" s="3" t="str">
        <f>IFERROR(__xludf.DUMMYFUNCTION("IF(REGEXMATCH(F1140, ""(?:.*,\s*)?([^,]+),\s*([^,]+),\s*Philippines.*""), TRIM(REGEXREPLACE(REGEXREPLACE(F1140, ""(?:.*,\s*)?([^,]+),\s*([^,]+),\s*Philippines.*"", ""$1, $2""), ""\d+"", """")), """")"),"Morong, Rizal")</f>
        <v>Morong, Rizal</v>
      </c>
    </row>
    <row r="1141">
      <c r="A1141" s="1" t="s">
        <v>3234</v>
      </c>
      <c r="B1141" s="1" t="s">
        <v>3235</v>
      </c>
      <c r="C1141" s="1" t="s">
        <v>13</v>
      </c>
      <c r="D1141" s="1">
        <v>14.1613523</v>
      </c>
      <c r="E1141" s="1">
        <v>121.2459593</v>
      </c>
      <c r="F1141" s="1" t="s">
        <v>3236</v>
      </c>
      <c r="G1141" s="3" t="str">
        <f>IFERROR(__xludf.DUMMYFUNCTION("IF(REGEXMATCH(F1141, ""(?:.*,\s*)?([^,]+),\s*([^,]+),\s*Philippines.*""), TRIM(REGEXREPLACE(REGEXREPLACE(F1141, ""(?:.*,\s*)?([^,]+),\s*([^,]+),\s*Philippines.*"", ""$1, $2""), ""\d+"", """")), """")"),"Los Baños, Laguna")</f>
        <v>Los Baños, Laguna</v>
      </c>
    </row>
    <row r="1142">
      <c r="A1142" s="1" t="s">
        <v>3237</v>
      </c>
      <c r="B1142" s="1" t="s">
        <v>3238</v>
      </c>
      <c r="C1142" s="1" t="s">
        <v>9</v>
      </c>
      <c r="D1142" s="1">
        <v>14.1651138</v>
      </c>
      <c r="E1142" s="1">
        <v>121.2401524</v>
      </c>
      <c r="F1142" s="1" t="s">
        <v>3239</v>
      </c>
      <c r="G1142" s="3" t="str">
        <f>IFERROR(__xludf.DUMMYFUNCTION("IF(REGEXMATCH(F1142, ""(?:.*,\s*)?([^,]+),\s*([^,]+),\s*Philippines.*""), TRIM(REGEXREPLACE(REGEXREPLACE(F1142, ""(?:.*,\s*)?([^,]+),\s*([^,]+),\s*Philippines.*"", ""$1, $2""), ""\d+"", """")), """")"),"Los Baños, Laguna")</f>
        <v>Los Baños, Laguna</v>
      </c>
    </row>
    <row r="1143">
      <c r="A1143" s="1" t="s">
        <v>3240</v>
      </c>
      <c r="B1143" s="1" t="s">
        <v>3241</v>
      </c>
      <c r="C1143" s="1" t="s">
        <v>9</v>
      </c>
      <c r="D1143" s="1">
        <v>14.1757908</v>
      </c>
      <c r="E1143" s="1">
        <v>121.2620705</v>
      </c>
      <c r="F1143" s="1" t="s">
        <v>3242</v>
      </c>
      <c r="G1143" s="3" t="str">
        <f>IFERROR(__xludf.DUMMYFUNCTION("IF(REGEXMATCH(F1143, ""(?:.*,\s*)?([^,]+),\s*([^,]+),\s*Philippines.*""), TRIM(REGEXREPLACE(REGEXREPLACE(F1143, ""(?:.*,\s*)?([^,]+),\s*([^,]+),\s*Philippines.*"", ""$1, $2""), ""\d+"", """")), """")"),"Los Baños, Laguna")</f>
        <v>Los Baños, Laguna</v>
      </c>
    </row>
    <row r="1144">
      <c r="A1144" s="1" t="s">
        <v>3243</v>
      </c>
      <c r="B1144" s="1" t="s">
        <v>2592</v>
      </c>
      <c r="C1144" s="1" t="s">
        <v>13</v>
      </c>
      <c r="D1144" s="1">
        <v>10.5941275</v>
      </c>
      <c r="E1144" s="1">
        <v>122.1447998</v>
      </c>
      <c r="F1144" s="1" t="s">
        <v>2511</v>
      </c>
      <c r="G1144" s="3" t="str">
        <f>IFERROR(__xludf.DUMMYFUNCTION("IF(REGEXMATCH(F1144, ""(?:.*,\s*)?([^,]+),\s*([^,]+),\s*Philippines.*""), TRIM(REGEXREPLACE(REGEXREPLACE(F1144, ""(?:.*,\s*)?([^,]+),\s*([^,]+),\s*Philippines.*"", ""$1, $2""), ""\d+"", """")), """")"),"San Joaquin, Iloilo")</f>
        <v>San Joaquin, Iloilo</v>
      </c>
    </row>
    <row r="1145">
      <c r="A1145" s="1" t="s">
        <v>3244</v>
      </c>
      <c r="B1145" s="1" t="s">
        <v>3245</v>
      </c>
      <c r="C1145" s="1" t="s">
        <v>13</v>
      </c>
      <c r="D1145" s="1">
        <v>14.158284</v>
      </c>
      <c r="E1145" s="1">
        <v>120.7464897</v>
      </c>
      <c r="F1145" s="1" t="s">
        <v>1853</v>
      </c>
      <c r="G1145" s="3" t="str">
        <f>IFERROR(__xludf.DUMMYFUNCTION("IF(REGEXMATCH(F1145, ""(?:.*,\s*)?([^,]+),\s*([^,]+),\s*Philippines.*""), TRIM(REGEXREPLACE(REGEXREPLACE(F1145, ""(?:.*,\s*)?([^,]+),\s*([^,]+),\s*Philippines.*"", ""$1, $2""), ""\d+"", """")), """")"),"Magallanes, Cavite")</f>
        <v>Magallanes, Cavite</v>
      </c>
    </row>
    <row r="1146">
      <c r="A1146" s="1" t="s">
        <v>3246</v>
      </c>
      <c r="B1146" s="1" t="s">
        <v>556</v>
      </c>
      <c r="C1146" s="1" t="s">
        <v>13</v>
      </c>
      <c r="D1146" s="1">
        <v>12.879721</v>
      </c>
      <c r="E1146" s="1">
        <v>121.774017</v>
      </c>
      <c r="F1146" s="1" t="s">
        <v>47</v>
      </c>
      <c r="G1146" s="3" t="str">
        <f>IFERROR(__xludf.DUMMYFUNCTION("IF(REGEXMATCH(F1146, ""(?:.*,\s*)?([^,]+),\s*([^,]+),\s*Philippines.*""), TRIM(REGEXREPLACE(REGEXREPLACE(F1146, ""(?:.*,\s*)?([^,]+),\s*([^,]+),\s*Philippines.*"", ""$1, $2""), ""\d+"", """")), """")"),"")</f>
        <v/>
      </c>
    </row>
    <row r="1147">
      <c r="A1147" s="1" t="s">
        <v>3247</v>
      </c>
      <c r="B1147" s="1" t="s">
        <v>3248</v>
      </c>
      <c r="C1147" s="1" t="s">
        <v>13</v>
      </c>
      <c r="D1147" s="1">
        <v>14.5070357</v>
      </c>
      <c r="E1147" s="1">
        <v>121.1872578</v>
      </c>
      <c r="F1147" s="1" t="s">
        <v>3249</v>
      </c>
      <c r="G1147" s="3" t="str">
        <f>IFERROR(__xludf.DUMMYFUNCTION("IF(REGEXMATCH(F1147, ""(?:.*,\s*)?([^,]+),\s*([^,]+),\s*Philippines.*""), TRIM(REGEXREPLACE(REGEXREPLACE(F1147, ""(?:.*,\s*)?([^,]+),\s*([^,]+),\s*Philippines.*"", ""$1, $2""), ""\d+"", """")), """")"),"Binangonan, Rizal")</f>
        <v>Binangonan, Rizal</v>
      </c>
    </row>
    <row r="1148">
      <c r="A1148" s="1" t="s">
        <v>3250</v>
      </c>
      <c r="B1148" s="1" t="s">
        <v>3251</v>
      </c>
      <c r="C1148" s="1" t="s">
        <v>9</v>
      </c>
      <c r="D1148" s="1">
        <v>14.6366742</v>
      </c>
      <c r="E1148" s="1">
        <v>121.1033799</v>
      </c>
      <c r="F1148" s="1" t="s">
        <v>3252</v>
      </c>
      <c r="G1148" s="3" t="str">
        <f>IFERROR(__xludf.DUMMYFUNCTION("IF(REGEXMATCH(F1148, ""(?:.*,\s*)?([^,]+),\s*([^,]+),\s*Philippines.*""), TRIM(REGEXREPLACE(REGEXREPLACE(F1148, ""(?:.*,\s*)?([^,]+),\s*([^,]+),\s*Philippines.*"", ""$1, $2""), ""\d+"", """")), """")"),"Marikina, Metro Manila")</f>
        <v>Marikina, Metro Manila</v>
      </c>
    </row>
    <row r="1149">
      <c r="A1149" s="1" t="s">
        <v>3253</v>
      </c>
      <c r="B1149" s="1" t="s">
        <v>3254</v>
      </c>
      <c r="C1149" s="1" t="s">
        <v>13</v>
      </c>
      <c r="D1149" s="1">
        <v>13.8711314</v>
      </c>
      <c r="E1149" s="1">
        <v>122.1206658</v>
      </c>
      <c r="F1149" s="1" t="s">
        <v>3255</v>
      </c>
      <c r="G1149" s="3" t="str">
        <f>IFERROR(__xludf.DUMMYFUNCTION("IF(REGEXMATCH(F1149, ""(?:.*,\s*)?([^,]+),\s*([^,]+),\s*Philippines.*""), TRIM(REGEXREPLACE(REGEXREPLACE(F1149, ""(?:.*,\s*)?([^,]+),\s*([^,]+),\s*Philippines.*"", ""$1, $2""), ""\d+"", """")), """")"),"Gumaca, Quezon")</f>
        <v>Gumaca, Quezon</v>
      </c>
    </row>
    <row r="1150">
      <c r="A1150" s="1" t="s">
        <v>3256</v>
      </c>
      <c r="B1150" s="1" t="s">
        <v>3257</v>
      </c>
      <c r="C1150" s="1" t="s">
        <v>13</v>
      </c>
      <c r="D1150" s="1">
        <v>14.1672379</v>
      </c>
      <c r="E1150" s="1">
        <v>122.2158891</v>
      </c>
      <c r="F1150" s="1" t="s">
        <v>3258</v>
      </c>
      <c r="G1150" s="3" t="str">
        <f>IFERROR(__xludf.DUMMYFUNCTION("IF(REGEXMATCH(F1150, ""(?:.*,\s*)?([^,]+),\s*([^,]+),\s*Philippines.*""), TRIM(REGEXREPLACE(REGEXREPLACE(F1150, ""(?:.*,\s*)?([^,]+),\s*([^,]+),\s*Philippines.*"", ""$1, $2""), ""\d+"", """")), """")"),"Calauag, Quezon")</f>
        <v>Calauag, Quezon</v>
      </c>
    </row>
    <row r="1151">
      <c r="A1151" s="1" t="s">
        <v>3259</v>
      </c>
      <c r="B1151" s="1" t="s">
        <v>3260</v>
      </c>
      <c r="C1151" s="1" t="s">
        <v>766</v>
      </c>
      <c r="D1151" s="1">
        <v>14.3102909</v>
      </c>
      <c r="E1151" s="1">
        <v>121.0320665</v>
      </c>
      <c r="F1151" s="1" t="s">
        <v>3261</v>
      </c>
      <c r="G1151" s="3" t="str">
        <f>IFERROR(__xludf.DUMMYFUNCTION("IF(REGEXMATCH(F1151, ""(?:.*,\s*)?([^,]+),\s*([^,]+),\s*Philippines.*""), TRIM(REGEXREPLACE(REGEXREPLACE(F1151, ""(?:.*,\s*)?([^,]+),\s*([^,]+),\s*Philippines.*"", ""$1, $2""), ""\d+"", """")), """")"),"General Mariano Alvarez, Cavite")</f>
        <v>General Mariano Alvarez, Cavite</v>
      </c>
    </row>
    <row r="1152">
      <c r="A1152" s="1" t="s">
        <v>3262</v>
      </c>
      <c r="B1152" s="1" t="s">
        <v>3263</v>
      </c>
      <c r="C1152" s="1" t="s">
        <v>766</v>
      </c>
      <c r="D1152" s="1">
        <v>14.3102909</v>
      </c>
      <c r="E1152" s="1">
        <v>121.0320665</v>
      </c>
      <c r="F1152" s="1" t="s">
        <v>3261</v>
      </c>
      <c r="G1152" s="3" t="str">
        <f>IFERROR(__xludf.DUMMYFUNCTION("IF(REGEXMATCH(F1152, ""(?:.*,\s*)?([^,]+),\s*([^,]+),\s*Philippines.*""), TRIM(REGEXREPLACE(REGEXREPLACE(F1152, ""(?:.*,\s*)?([^,]+),\s*([^,]+),\s*Philippines.*"", ""$1, $2""), ""\d+"", """")), """")"),"General Mariano Alvarez, Cavite")</f>
        <v>General Mariano Alvarez, Cavite</v>
      </c>
    </row>
    <row r="1153">
      <c r="A1153" s="1" t="s">
        <v>3264</v>
      </c>
      <c r="B1153" s="1" t="s">
        <v>3265</v>
      </c>
      <c r="C1153" s="1" t="s">
        <v>13</v>
      </c>
      <c r="D1153" s="1">
        <v>14.1406629</v>
      </c>
      <c r="E1153" s="1">
        <v>121.4691774</v>
      </c>
      <c r="F1153" s="1" t="s">
        <v>1824</v>
      </c>
      <c r="G1153" s="3" t="str">
        <f>IFERROR(__xludf.DUMMYFUNCTION("IF(REGEXMATCH(F1153, ""(?:.*,\s*)?([^,]+),\s*([^,]+),\s*Philippines.*""), TRIM(REGEXREPLACE(REGEXREPLACE(F1153, ""(?:.*,\s*)?([^,]+),\s*([^,]+),\s*Philippines.*"", ""$1, $2""), ""\d+"", """")), """")"),"")</f>
        <v/>
      </c>
    </row>
    <row r="1154">
      <c r="A1154" s="1" t="s">
        <v>3266</v>
      </c>
      <c r="B1154" s="1" t="s">
        <v>3267</v>
      </c>
      <c r="C1154" s="1" t="s">
        <v>13</v>
      </c>
      <c r="D1154" s="1">
        <v>10.8219372</v>
      </c>
      <c r="E1154" s="1">
        <v>124.9383039</v>
      </c>
      <c r="F1154" s="1" t="s">
        <v>3268</v>
      </c>
      <c r="G1154" s="3" t="str">
        <f>IFERROR(__xludf.DUMMYFUNCTION("IF(REGEXMATCH(F1154, ""(?:.*,\s*)?([^,]+),\s*([^,]+),\s*Philippines.*""), TRIM(REGEXREPLACE(REGEXREPLACE(F1154, ""(?:.*,\s*)?([^,]+),\s*([^,]+),\s*Philippines.*"", ""$1, $2""), ""\d+"", """")), """")"),"Macarthur, Leyte")</f>
        <v>Macarthur, Leyte</v>
      </c>
    </row>
    <row r="1155">
      <c r="A1155" s="1" t="s">
        <v>3269</v>
      </c>
      <c r="B1155" s="1" t="s">
        <v>3270</v>
      </c>
      <c r="C1155" s="1" t="s">
        <v>9</v>
      </c>
      <c r="D1155" s="1">
        <v>14.237015</v>
      </c>
      <c r="E1155" s="1">
        <v>121.133451</v>
      </c>
      <c r="F1155" s="1" t="s">
        <v>3271</v>
      </c>
      <c r="G1155" s="3" t="str">
        <f>IFERROR(__xludf.DUMMYFUNCTION("IF(REGEXMATCH(F1155, ""(?:.*,\s*)?([^,]+),\s*([^,]+),\s*Philippines.*""), TRIM(REGEXREPLACE(REGEXREPLACE(F1155, ""(?:.*,\s*)?([^,]+),\s*([^,]+),\s*Philippines.*"", ""$1, $2""), ""\d+"", """")), """")"),"Cabuyao City, Laguna")</f>
        <v>Cabuyao City, Laguna</v>
      </c>
    </row>
    <row r="1156">
      <c r="A1156" s="1" t="s">
        <v>3272</v>
      </c>
      <c r="B1156" s="1" t="s">
        <v>3273</v>
      </c>
      <c r="C1156" s="1" t="s">
        <v>9</v>
      </c>
      <c r="D1156" s="1">
        <v>14.237015</v>
      </c>
      <c r="E1156" s="1">
        <v>121.133451</v>
      </c>
      <c r="F1156" s="1" t="s">
        <v>3271</v>
      </c>
      <c r="G1156" s="3" t="str">
        <f>IFERROR(__xludf.DUMMYFUNCTION("IF(REGEXMATCH(F1156, ""(?:.*,\s*)?([^,]+),\s*([^,]+),\s*Philippines.*""), TRIM(REGEXREPLACE(REGEXREPLACE(F1156, ""(?:.*,\s*)?([^,]+),\s*([^,]+),\s*Philippines.*"", ""$1, $2""), ""\d+"", """")), """")"),"Cabuyao City, Laguna")</f>
        <v>Cabuyao City, Laguna</v>
      </c>
    </row>
    <row r="1157">
      <c r="A1157" s="1" t="s">
        <v>3274</v>
      </c>
      <c r="B1157" s="1" t="s">
        <v>3275</v>
      </c>
      <c r="C1157" s="1" t="s">
        <v>9</v>
      </c>
      <c r="D1157" s="1">
        <v>14.279534</v>
      </c>
      <c r="E1157" s="1">
        <v>121.1228003</v>
      </c>
      <c r="F1157" s="1" t="s">
        <v>3276</v>
      </c>
      <c r="G1157" s="3" t="str">
        <f>IFERROR(__xludf.DUMMYFUNCTION("IF(REGEXMATCH(F1157, ""(?:.*,\s*)?([^,]+),\s*([^,]+),\s*Philippines.*""), TRIM(REGEXREPLACE(REGEXREPLACE(F1157, ""(?:.*,\s*)?([^,]+),\s*([^,]+),\s*Philippines.*"", ""$1, $2""), ""\d+"", """")), """")"),"Cabuyao City, Laguna")</f>
        <v>Cabuyao City, Laguna</v>
      </c>
    </row>
    <row r="1158">
      <c r="A1158" s="1" t="s">
        <v>3277</v>
      </c>
      <c r="B1158" s="1" t="s">
        <v>3278</v>
      </c>
      <c r="C1158" s="1" t="s">
        <v>13</v>
      </c>
      <c r="D1158" s="1">
        <v>14.3182193</v>
      </c>
      <c r="E1158" s="1">
        <v>120.7655104</v>
      </c>
      <c r="F1158" s="1" t="s">
        <v>3279</v>
      </c>
      <c r="G1158" s="3" t="str">
        <f>IFERROR(__xludf.DUMMYFUNCTION("IF(REGEXMATCH(F1158, ""(?:.*,\s*)?([^,]+),\s*([^,]+),\s*Philippines.*""), TRIM(REGEXREPLACE(REGEXREPLACE(F1158, ""(?:.*,\s*)?([^,]+),\s*([^,]+),\s*Philippines.*"", ""$1, $2""), ""\d+"", """")), """")"),"Naic, Cavite")</f>
        <v>Naic, Cavite</v>
      </c>
    </row>
    <row r="1159">
      <c r="A1159" s="1" t="s">
        <v>3280</v>
      </c>
      <c r="B1159" s="1" t="s">
        <v>3281</v>
      </c>
      <c r="C1159" s="1" t="s">
        <v>13</v>
      </c>
      <c r="D1159" s="1">
        <v>13.4653729</v>
      </c>
      <c r="E1159" s="1">
        <v>122.5542435</v>
      </c>
      <c r="F1159" s="1" t="s">
        <v>3282</v>
      </c>
      <c r="G1159" s="3" t="str">
        <f>IFERROR(__xludf.DUMMYFUNCTION("IF(REGEXMATCH(F1159, ""(?:.*,\s*)?([^,]+),\s*([^,]+),\s*Philippines.*""), TRIM(REGEXREPLACE(REGEXREPLACE(F1159, ""(?:.*,\s*)?([^,]+),\s*([^,]+),\s*Philippines.*"", ""$1, $2""), ""\d+"", """")), """")"),"San Narciso, Quezon")</f>
        <v>San Narciso, Quezon</v>
      </c>
    </row>
    <row r="1160">
      <c r="A1160" s="1" t="s">
        <v>3283</v>
      </c>
      <c r="B1160" s="1" t="s">
        <v>3284</v>
      </c>
      <c r="C1160" s="1" t="s">
        <v>9</v>
      </c>
      <c r="D1160" s="1">
        <v>14.5836043</v>
      </c>
      <c r="E1160" s="1">
        <v>121.171494</v>
      </c>
      <c r="F1160" s="1" t="s">
        <v>3285</v>
      </c>
      <c r="G1160" s="3" t="str">
        <f>IFERROR(__xludf.DUMMYFUNCTION("IF(REGEXMATCH(F1160, ""(?:.*,\s*)?([^,]+),\s*([^,]+),\s*Philippines.*""), TRIM(REGEXREPLACE(REGEXREPLACE(F1160, ""(?:.*,\s*)?([^,]+),\s*([^,]+),\s*Philippines.*"", ""$1, $2""), ""\d+"", """")), """")"),"Antipolo, Rizal")</f>
        <v>Antipolo, Rizal</v>
      </c>
    </row>
    <row r="1161">
      <c r="A1161" s="1" t="s">
        <v>3286</v>
      </c>
      <c r="B1161" s="1" t="s">
        <v>3287</v>
      </c>
      <c r="C1161" s="1" t="s">
        <v>9</v>
      </c>
      <c r="D1161" s="1">
        <v>14.582784</v>
      </c>
      <c r="E1161" s="1">
        <v>121.175643</v>
      </c>
      <c r="F1161" s="1" t="s">
        <v>3288</v>
      </c>
      <c r="G1161" s="3" t="str">
        <f>IFERROR(__xludf.DUMMYFUNCTION("IF(REGEXMATCH(F1161, ""(?:.*,\s*)?([^,]+),\s*([^,]+),\s*Philippines.*""), TRIM(REGEXREPLACE(REGEXREPLACE(F1161, ""(?:.*,\s*)?([^,]+),\s*([^,]+),\s*Philippines.*"", ""$1, $2""), ""\d+"", """")), """")"),"Antipolo, Rizal")</f>
        <v>Antipolo, Rizal</v>
      </c>
    </row>
    <row r="1162">
      <c r="A1162" s="1" t="s">
        <v>3289</v>
      </c>
      <c r="B1162" s="1" t="s">
        <v>3290</v>
      </c>
      <c r="C1162" s="1" t="s">
        <v>9</v>
      </c>
      <c r="D1162" s="1">
        <v>13.9369838</v>
      </c>
      <c r="E1162" s="1">
        <v>121.6142033</v>
      </c>
      <c r="F1162" s="1" t="s">
        <v>3291</v>
      </c>
      <c r="G1162" s="3" t="str">
        <f>IFERROR(__xludf.DUMMYFUNCTION("IF(REGEXMATCH(F1162, ""(?:.*,\s*)?([^,]+),\s*([^,]+),\s*Philippines.*""), TRIM(REGEXREPLACE(REGEXREPLACE(F1162, ""(?:.*,\s*)?([^,]+),\s*([^,]+),\s*Philippines.*"", ""$1, $2""), ""\d+"", """")), """")"),"Lucena City, Quezon")</f>
        <v>Lucena City, Quezon</v>
      </c>
    </row>
    <row r="1163">
      <c r="A1163" s="1" t="s">
        <v>3292</v>
      </c>
      <c r="B1163" s="1" t="s">
        <v>3293</v>
      </c>
      <c r="C1163" s="1" t="s">
        <v>622</v>
      </c>
      <c r="D1163" s="1">
        <v>14.0878554</v>
      </c>
      <c r="E1163" s="1">
        <v>120.7285499</v>
      </c>
      <c r="F1163" s="1" t="s">
        <v>3294</v>
      </c>
      <c r="G1163" s="3" t="str">
        <f>IFERROR(__xludf.DUMMYFUNCTION("IF(REGEXMATCH(F1163, ""(?:.*,\s*)?([^,]+),\s*([^,]+),\s*Philippines.*""), TRIM(REGEXREPLACE(REGEXREPLACE(F1163, ""(?:.*,\s*)?([^,]+),\s*([^,]+),\s*Philippines.*"", ""$1, $2""), ""\d+"", """")), """")"),"Nasugbu, Batangas")</f>
        <v>Nasugbu, Batangas</v>
      </c>
    </row>
    <row r="1164">
      <c r="A1164" s="1" t="s">
        <v>3295</v>
      </c>
      <c r="B1164" s="1" t="s">
        <v>3296</v>
      </c>
      <c r="C1164" s="1" t="s">
        <v>622</v>
      </c>
      <c r="D1164" s="1">
        <v>14.3669091</v>
      </c>
      <c r="E1164" s="1">
        <v>120.8191538</v>
      </c>
      <c r="F1164" s="1" t="s">
        <v>3297</v>
      </c>
      <c r="G1164" s="3" t="str">
        <f>IFERROR(__xludf.DUMMYFUNCTION("IF(REGEXMATCH(F1164, ""(?:.*,\s*)?([^,]+),\s*([^,]+),\s*Philippines.*""), TRIM(REGEXREPLACE(REGEXREPLACE(F1164, ""(?:.*,\s*)?([^,]+),\s*([^,]+),\s*Philippines.*"", ""$1, $2""), ""\d+"", """")), """")"),"Tanza, Cavite")</f>
        <v>Tanza, Cavite</v>
      </c>
    </row>
    <row r="1210">
      <c r="G1210" s="1"/>
    </row>
    <row r="1211">
      <c r="G1211" s="1"/>
    </row>
    <row r="1212">
      <c r="G1212" s="1"/>
    </row>
    <row r="1213">
      <c r="G1213" s="1"/>
    </row>
    <row r="1214">
      <c r="G1214" s="1"/>
    </row>
    <row r="1215">
      <c r="G1215" s="1"/>
    </row>
    <row r="1216">
      <c r="G1216" s="1"/>
    </row>
    <row r="1217">
      <c r="G1217" s="1"/>
    </row>
    <row r="1218">
      <c r="G1218" s="1"/>
    </row>
    <row r="1219">
      <c r="G1219" s="1"/>
    </row>
    <row r="1220">
      <c r="G1220" s="1"/>
    </row>
    <row r="1221">
      <c r="G1221" s="1"/>
    </row>
    <row r="1222">
      <c r="G1222" s="1"/>
    </row>
    <row r="1223">
      <c r="G1223" s="1"/>
    </row>
    <row r="1224">
      <c r="G1224" s="1"/>
    </row>
    <row r="1225">
      <c r="G1225" s="1"/>
    </row>
    <row r="1226">
      <c r="G1226" s="1"/>
    </row>
    <row r="1227">
      <c r="G1227" s="1"/>
    </row>
    <row r="1228">
      <c r="G1228" s="1"/>
    </row>
    <row r="1229">
      <c r="G1229" s="1"/>
    </row>
    <row r="1230">
      <c r="G1230" s="1"/>
    </row>
    <row r="1231">
      <c r="G1231" s="1"/>
    </row>
    <row r="1232">
      <c r="G1232" s="1"/>
    </row>
    <row r="1233">
      <c r="G1233" s="1"/>
    </row>
    <row r="1234">
      <c r="G1234" s="1"/>
    </row>
    <row r="1235">
      <c r="G1235" s="1"/>
    </row>
    <row r="1236">
      <c r="G1236" s="1"/>
    </row>
    <row r="1237">
      <c r="G1237" s="1"/>
    </row>
    <row r="1238">
      <c r="G1238" s="1"/>
    </row>
    <row r="1239">
      <c r="G1239" s="1"/>
    </row>
    <row r="1240">
      <c r="G1240" s="1"/>
    </row>
    <row r="1241">
      <c r="G1241" s="1"/>
    </row>
    <row r="1242">
      <c r="G1242" s="1"/>
    </row>
    <row r="1243">
      <c r="G1243" s="1"/>
    </row>
    <row r="1244">
      <c r="G1244" s="1"/>
    </row>
    <row r="1245">
      <c r="G1245" s="1"/>
    </row>
    <row r="1246">
      <c r="G1246" s="1"/>
    </row>
    <row r="1247">
      <c r="G1247" s="1"/>
    </row>
    <row r="1248">
      <c r="G1248" s="1"/>
    </row>
    <row r="1249">
      <c r="G1249" s="1"/>
    </row>
    <row r="1250">
      <c r="G1250" s="1"/>
    </row>
    <row r="1251">
      <c r="G1251" s="1"/>
    </row>
    <row r="1252">
      <c r="G1252" s="1"/>
    </row>
    <row r="1253">
      <c r="G1253" s="1"/>
    </row>
    <row r="1254">
      <c r="G1254" s="1"/>
    </row>
    <row r="1255">
      <c r="G1255" s="1"/>
    </row>
    <row r="1256">
      <c r="G1256" s="1"/>
    </row>
    <row r="1257">
      <c r="G1257" s="1"/>
    </row>
    <row r="1258">
      <c r="G1258" s="1"/>
    </row>
    <row r="1259">
      <c r="G1259" s="1"/>
    </row>
    <row r="1260">
      <c r="G1260" s="1"/>
    </row>
    <row r="1261">
      <c r="G1261" s="1"/>
    </row>
    <row r="1262">
      <c r="G1262" s="1"/>
    </row>
    <row r="1263">
      <c r="G1263" s="1"/>
    </row>
    <row r="1264">
      <c r="G1264" s="1"/>
    </row>
    <row r="1265">
      <c r="G1265" s="1"/>
    </row>
    <row r="1266">
      <c r="G1266" s="1"/>
    </row>
    <row r="1267">
      <c r="G1267" s="1"/>
    </row>
    <row r="1268">
      <c r="G1268" s="1"/>
    </row>
    <row r="1269">
      <c r="G1269" s="1"/>
    </row>
    <row r="1270">
      <c r="G1270" s="1"/>
    </row>
    <row r="1271">
      <c r="G1271" s="1"/>
    </row>
    <row r="1272">
      <c r="G1272" s="1"/>
    </row>
    <row r="1273">
      <c r="G1273" s="1"/>
    </row>
    <row r="1274">
      <c r="G1274" s="1"/>
    </row>
    <row r="1275">
      <c r="G1275" s="1"/>
    </row>
    <row r="1276">
      <c r="G1276" s="1"/>
    </row>
    <row r="1277">
      <c r="G1277" s="1"/>
    </row>
    <row r="1278">
      <c r="G1278" s="1"/>
    </row>
    <row r="1279">
      <c r="G1279" s="1"/>
    </row>
    <row r="1280">
      <c r="G1280" s="1"/>
    </row>
    <row r="1281">
      <c r="G1281" s="1"/>
    </row>
    <row r="1282">
      <c r="G1282" s="1"/>
    </row>
    <row r="1283">
      <c r="G1283" s="1"/>
    </row>
    <row r="1284">
      <c r="G1284" s="1"/>
    </row>
    <row r="1285">
      <c r="G1285" s="1"/>
    </row>
    <row r="1286">
      <c r="G1286" s="1"/>
    </row>
    <row r="1287">
      <c r="G1287" s="1"/>
    </row>
    <row r="1288">
      <c r="G1288" s="1"/>
    </row>
    <row r="1289">
      <c r="G1289" s="1"/>
    </row>
    <row r="1290">
      <c r="G1290" s="1"/>
    </row>
    <row r="1291">
      <c r="G1291" s="1"/>
    </row>
    <row r="1292">
      <c r="G1292" s="1"/>
    </row>
    <row r="1293">
      <c r="G1293" s="1"/>
    </row>
    <row r="1294">
      <c r="G1294" s="1"/>
    </row>
    <row r="1295">
      <c r="G1295" s="1"/>
    </row>
    <row r="1296">
      <c r="G1296" s="1"/>
    </row>
    <row r="1297">
      <c r="G1297" s="1"/>
    </row>
    <row r="1298">
      <c r="G1298" s="1"/>
    </row>
    <row r="1299">
      <c r="G1299" s="1"/>
    </row>
    <row r="1300">
      <c r="G1300" s="1"/>
    </row>
    <row r="1301">
      <c r="G1301" s="1"/>
    </row>
    <row r="1302">
      <c r="G1302" s="1"/>
    </row>
    <row r="1303">
      <c r="G1303" s="1"/>
    </row>
    <row r="1304">
      <c r="G1304" s="1"/>
    </row>
    <row r="1305">
      <c r="G1305" s="1"/>
    </row>
    <row r="1306">
      <c r="G1306" s="1"/>
    </row>
    <row r="1307">
      <c r="G1307" s="1"/>
    </row>
    <row r="1308">
      <c r="G1308" s="1"/>
    </row>
  </sheetData>
  <drawing r:id="rId1"/>
</worksheet>
</file>